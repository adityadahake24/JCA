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eature Matrix" sheetId="1" state="visible" r:id="rId1"/>
    <sheet name="Gantt" sheetId="2" state="visible" r:id="rId2"/>
    <sheet name="Summary" sheetId="3" state="visible" r:id="rId3"/>
    <sheet name="Tech Decisions" sheetId="4" state="visible" r:id="rId4"/>
    <sheet name="Phase 0 — Foundation" sheetId="5" state="visible" r:id="rId5"/>
    <sheet name="Phase 1 — v1.0" sheetId="6" state="visible" r:id="rId6"/>
    <sheet name="Phase 2 — v1.5" sheetId="7" state="visible" r:id="rId7"/>
    <sheet name="Phase 3 — v2.0" sheetId="8" state="visible" r:id="rId8"/>
  </sheets>
  <definedNames/>
  <calcPr calcId="124519" fullCalcOnLoad="1"/>
</workbook>
</file>

<file path=xl/styles.xml><?xml version="1.0" encoding="utf-8"?>
<styleSheet xmlns="http://schemas.openxmlformats.org/spreadsheetml/2006/main">
  <numFmts count="3">
    <numFmt numFmtId="164" formatCode="dd-mmm-yy"/>
    <numFmt numFmtId="165" formatCode="d/m"/>
    <numFmt numFmtId="166" formatCode="yyyy-mm-dd"/>
  </numFmts>
  <fonts count="14">
    <font>
      <name val="Calibri"/>
      <color theme="1"/>
      <sz val="11"/>
      <scheme val="minor"/>
    </font>
    <font>
      <name val="Calibri"/>
      <b val="1"/>
      <color rgb="FF7A1620"/>
      <sz val="15"/>
    </font>
    <font>
      <name val="Calibri"/>
      <color theme="1"/>
      <sz val="11"/>
    </font>
    <font>
      <name val="Calibri"/>
      <i val="1"/>
      <color rgb="FF4A4038"/>
      <sz val="10"/>
    </font>
    <font>
      <name val="Calibri"/>
      <b val="1"/>
      <color rgb="FFFAF6EF"/>
      <sz val="11"/>
    </font>
    <font>
      <name val="Calibri"/>
      <b val="1"/>
      <color rgb="FF7A1620"/>
      <sz val="11"/>
    </font>
    <font/>
    <font>
      <name val="Calibri"/>
      <i val="1"/>
      <color theme="1"/>
      <sz val="9"/>
    </font>
    <font>
      <b val="1"/>
      <color rgb="007A1620"/>
      <sz val="15"/>
    </font>
    <font>
      <i val="1"/>
      <color rgb="004A4038"/>
      <sz val="10"/>
    </font>
    <font>
      <b val="1"/>
      <color rgb="00FAF6EF"/>
      <sz val="11"/>
    </font>
    <font>
      <b val="1"/>
      <color rgb="007A1620"/>
      <sz val="11"/>
    </font>
    <font>
      <b val="1"/>
    </font>
    <font>
      <color rgb="00FAF6EF"/>
      <sz val="7"/>
    </font>
  </fonts>
  <fills count="8">
    <fill>
      <patternFill/>
    </fill>
    <fill>
      <patternFill patternType="lightGray"/>
    </fill>
    <fill>
      <patternFill patternType="solid">
        <fgColor rgb="FF7A1620"/>
        <bgColor rgb="FF7A1620"/>
      </patternFill>
    </fill>
    <fill>
      <patternFill patternType="solid">
        <fgColor rgb="FFFFFFFF"/>
        <bgColor rgb="FFFFFFFF"/>
      </patternFill>
    </fill>
    <fill>
      <patternFill patternType="solid">
        <fgColor rgb="FFFBF8F2"/>
        <bgColor rgb="FFFBF8F2"/>
      </patternFill>
    </fill>
    <fill>
      <patternFill patternType="solid">
        <fgColor rgb="007A1620"/>
      </patternFill>
    </fill>
    <fill>
      <patternFill patternType="solid">
        <fgColor rgb="00F4ECDD"/>
      </patternFill>
    </fill>
    <fill>
      <patternFill patternType="solid">
        <fgColor rgb="00FFF2CC"/>
      </patternFill>
    </fill>
  </fills>
  <borders count="5">
    <border/>
    <border>
      <left/>
      <right/>
      <top/>
      <bottom/>
    </border>
    <border>
      <bottom style="thin">
        <color rgb="FFD9CBB0"/>
      </bottom>
    </border>
    <border>
      <bottom style="thin">
        <color rgb="00D9CBB0"/>
      </bottom>
    </border>
    <border>
      <top style="medium">
        <color rgb="007A1620"/>
      </top>
    </border>
  </borders>
  <cellStyleXfs count="1">
    <xf numFmtId="0" fontId="0" fillId="0" borderId="0"/>
  </cellStyleXfs>
  <cellXfs count="4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center" vertical="top" wrapText="1"/>
    </xf>
    <xf numFmtId="0" fontId="2" fillId="3" borderId="2" applyAlignment="1" pivotButton="0" quotePrefix="0" xfId="0">
      <alignment horizontal="left" vertical="top" wrapText="1"/>
    </xf>
    <xf numFmtId="0" fontId="2" fillId="0" borderId="2" applyAlignment="1" pivotButton="0" quotePrefix="0" xfId="0">
      <alignment horizontal="left" vertical="top" wrapText="1"/>
    </xf>
    <xf numFmtId="0" fontId="5" fillId="3" borderId="0" applyAlignment="1" pivotButton="0" quotePrefix="0" xfId="0">
      <alignment horizontal="left" vertical="top" wrapText="1"/>
    </xf>
    <xf numFmtId="0" fontId="2" fillId="3" borderId="0" applyAlignment="1" pivotButton="0" quotePrefix="0" xfId="0">
      <alignment horizontal="left" vertical="top" wrapText="1"/>
    </xf>
    <xf numFmtId="0" fontId="6" fillId="0" borderId="2" pivotButton="0" quotePrefix="0" xfId="0"/>
    <xf numFmtId="0" fontId="2" fillId="4" borderId="2" applyAlignment="1" pivotButton="0" quotePrefix="0" xfId="0">
      <alignment horizontal="left" vertical="top" wrapText="1"/>
    </xf>
    <xf numFmtId="0" fontId="5" fillId="4" borderId="0" applyAlignment="1" pivotButton="0" quotePrefix="0" xfId="0">
      <alignment horizontal="left" vertical="top" wrapText="1"/>
    </xf>
    <xf numFmtId="0" fontId="7" fillId="0" borderId="0" applyAlignment="1" pivotButton="0" quotePrefix="0" xfId="0">
      <alignment horizontal="left" vertical="top" wrapText="1"/>
    </xf>
    <xf numFmtId="0" fontId="2" fillId="4" borderId="2" applyAlignment="1" pivotButton="0" quotePrefix="0" xfId="0">
      <alignment horizontal="left" vertical="top" wrapText="1"/>
    </xf>
    <xf numFmtId="0" fontId="0" fillId="0" borderId="0" pivotButton="0" quotePrefix="0" xfId="0"/>
    <xf numFmtId="0" fontId="8" fillId="0" borderId="0" pivotButton="0" quotePrefix="0" xfId="0"/>
    <xf numFmtId="0" fontId="9" fillId="0" borderId="0" applyAlignment="1" pivotButton="0" quotePrefix="0" xfId="0">
      <alignment horizontal="left" vertical="top" wrapText="1"/>
    </xf>
    <xf numFmtId="0" fontId="10" fillId="5" borderId="0" applyAlignment="1" pivotButton="0" quotePrefix="0" xfId="0">
      <alignment horizontal="center" vertical="top" wrapText="1"/>
    </xf>
    <xf numFmtId="0" fontId="11" fillId="6" borderId="0" pivotButton="0" quotePrefix="0" xfId="0"/>
    <xf numFmtId="0" fontId="0" fillId="0" borderId="3" applyAlignment="1" pivotButton="0" quotePrefix="0" xfId="0">
      <alignment horizontal="center" vertical="center"/>
    </xf>
    <xf numFmtId="0" fontId="0" fillId="0" borderId="3" pivotButton="0" quotePrefix="0" xfId="0"/>
    <xf numFmtId="0" fontId="0" fillId="0" borderId="4" pivotButton="0" quotePrefix="0" xfId="0"/>
    <xf numFmtId="0" fontId="12" fillId="0" borderId="4" pivotButton="0" quotePrefix="0" xfId="0"/>
    <xf numFmtId="0" fontId="12" fillId="0" borderId="4" applyAlignment="1" pivotButton="0" quotePrefix="0" xfId="0">
      <alignment horizontal="center" vertical="center"/>
    </xf>
    <xf numFmtId="0" fontId="12" fillId="0" borderId="0" pivotButton="0" quotePrefix="0" xfId="0"/>
    <xf numFmtId="164" fontId="12" fillId="7" borderId="0" applyAlignment="1" pivotButton="0" quotePrefix="0" xfId="0">
      <alignment horizontal="center" vertical="center"/>
    </xf>
    <xf numFmtId="0" fontId="10" fillId="5" borderId="0" applyAlignment="1" pivotButton="0" quotePrefix="0" xfId="0">
      <alignment horizontal="center" vertical="center"/>
    </xf>
    <xf numFmtId="0" fontId="10" fillId="5" borderId="0" applyAlignment="1" pivotButton="0" quotePrefix="0" xfId="0">
      <alignment horizontal="left"/>
    </xf>
    <xf numFmtId="165" fontId="13" fillId="5" borderId="0" applyAlignment="1" pivotButton="0" quotePrefix="0" xfId="0">
      <alignment horizontal="center" textRotation="90"/>
    </xf>
    <xf numFmtId="0" fontId="13" fillId="5" borderId="0" applyAlignment="1" pivotButton="0" quotePrefix="0" xfId="0">
      <alignment horizontal="center" vertical="center"/>
    </xf>
    <xf numFmtId="164" fontId="11" fillId="6" borderId="0" applyAlignment="1" pivotButton="0" quotePrefix="0" xfId="0">
      <alignment horizontal="center" vertical="center"/>
    </xf>
    <xf numFmtId="0" fontId="11" fillId="6" borderId="0" applyAlignment="1" pivotButton="0" quotePrefix="0" xfId="0">
      <alignment horizontal="center" vertical="center"/>
    </xf>
    <xf numFmtId="164" fontId="0" fillId="7" borderId="3" applyAlignment="1" pivotButton="0" quotePrefix="0" xfId="0">
      <alignment horizontal="center" vertical="center"/>
    </xf>
    <xf numFmtId="0" fontId="5" fillId="4" borderId="2" applyAlignment="1" pivotButton="0" quotePrefix="0" xfId="0">
      <alignment horizontal="left" vertical="top" wrapText="1"/>
    </xf>
    <xf numFmtId="0" fontId="0" fillId="0" borderId="2" pivotButton="0" quotePrefix="0" xfId="0"/>
    <xf numFmtId="0" fontId="5" fillId="3" borderId="2" applyAlignment="1" pivotButton="0" quotePrefix="0" xfId="0">
      <alignment horizontal="left" vertical="top" wrapText="1"/>
    </xf>
    <xf numFmtId="164" fontId="12" fillId="7" borderId="0" applyAlignment="1" pivotButton="0" quotePrefix="0" xfId="0">
      <alignment horizontal="center" vertical="center"/>
    </xf>
    <xf numFmtId="165" fontId="13" fillId="5" borderId="0" applyAlignment="1" pivotButton="0" quotePrefix="0" xfId="0">
      <alignment horizontal="center" textRotation="90"/>
    </xf>
    <xf numFmtId="164" fontId="11" fillId="6" borderId="0" applyAlignment="1" pivotButton="0" quotePrefix="0" xfId="0">
      <alignment horizontal="center" vertical="center"/>
    </xf>
    <xf numFmtId="164" fontId="0" fillId="7" borderId="3" applyAlignment="1" pivotButton="0" quotePrefix="0" xfId="0">
      <alignment horizontal="center" vertical="center"/>
    </xf>
  </cellXfs>
  <cellStyles count="1">
    <cellStyle name="Normal" xfId="0" builtinId="0"/>
  </cellStyles>
  <dxfs count="11">
    <dxf>
      <font>
        <b val="1"/>
        <color rgb="00274E13"/>
      </font>
      <fill>
        <patternFill patternType="solid">
          <bgColor rgb="00D9EAD3"/>
        </patternFill>
      </fill>
    </dxf>
    <dxf>
      <font>
        <b val="1"/>
        <color rgb="00990000"/>
      </font>
      <fill>
        <patternFill patternType="solid">
          <bgColor rgb="00F4CCCC"/>
        </patternFill>
      </fill>
    </dxf>
    <dxf>
      <fill>
        <patternFill patternType="solid">
          <bgColor rgb="006C7A89"/>
        </patternFill>
      </fill>
    </dxf>
    <dxf>
      <fill>
        <patternFill patternType="solid">
          <bgColor rgb="0034495E"/>
        </patternFill>
      </fill>
    </dxf>
    <dxf>
      <fill>
        <patternFill patternType="solid">
          <bgColor rgb="00B03A48"/>
        </patternFill>
      </fill>
    </dxf>
    <dxf>
      <fill>
        <patternFill patternType="solid">
          <bgColor rgb="007A1620"/>
        </patternFill>
      </fill>
    </dxf>
    <dxf>
      <fill>
        <patternFill patternType="solid">
          <bgColor rgb="00E0B64A"/>
        </patternFill>
      </fill>
    </dxf>
    <dxf>
      <fill>
        <patternFill patternType="solid">
          <bgColor rgb="00A67C00"/>
        </patternFill>
      </fill>
    </dxf>
    <dxf>
      <fill>
        <patternFill patternType="solid">
          <bgColor rgb="004DB6AC"/>
        </patternFill>
      </fill>
    </dxf>
    <dxf>
      <fill>
        <patternFill patternType="solid">
          <bgColor rgb="0000796B"/>
        </patternFill>
      </fill>
    </dxf>
    <dxf>
      <border>
        <left style="thin">
          <color rgb="00C0392B"/>
        </left>
        <right style="thin">
          <color rgb="00C0392B"/>
        </right>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47"/>
  <sheetViews>
    <sheetView workbookViewId="0">
      <pane ySplit="4" topLeftCell="A5" activePane="bottomLeft" state="frozen"/>
      <selection pane="bottomLeft" activeCell="A1" sqref="A1"/>
    </sheetView>
  </sheetViews>
  <sheetFormatPr baseColWidth="8" defaultRowHeight="15"/>
  <cols>
    <col width="6" customWidth="1" style="14" min="1" max="1"/>
    <col width="22" customWidth="1" style="14" min="2" max="2"/>
    <col width="42" customWidth="1" style="14" min="3" max="3"/>
    <col width="22" customWidth="1" style="14" min="4" max="4"/>
    <col width="18" customWidth="1" style="14" min="5" max="5"/>
    <col width="16" customWidth="1" style="14" min="6" max="6"/>
  </cols>
  <sheetData>
    <row r="1">
      <c r="A1" s="15" t="inlineStr">
        <is>
          <t>Feature Matrix — who gets what</t>
        </is>
      </c>
    </row>
    <row r="2" ht="30" customHeight="1" s="14">
      <c r="A2" s="16" t="inlineStr">
        <is>
          <t>Which section each planned feature belongs to. Use the Yes/No dropdowns to change a cell; colours and the Gantt update automatically.</t>
        </is>
      </c>
    </row>
    <row r="4" ht="32" customHeight="1" s="14">
      <c r="A4" s="17" t="inlineStr">
        <is>
          <t>#</t>
        </is>
      </c>
      <c r="B4" s="17" t="inlineStr">
        <is>
          <t>Phase</t>
        </is>
      </c>
      <c r="C4" s="17" t="inlineStr">
        <is>
          <t>Feature</t>
        </is>
      </c>
      <c r="D4" s="17" t="inlineStr">
        <is>
          <t>Guest / Non-logged-in</t>
        </is>
      </c>
      <c r="E4" s="17" t="inlineStr">
        <is>
          <t>Logged-in User</t>
        </is>
      </c>
      <c r="F4" s="17" t="inlineStr">
        <is>
          <t>Admin Utility</t>
        </is>
      </c>
    </row>
    <row r="5">
      <c r="A5" s="18" t="inlineStr">
        <is>
          <t>Phase 0 — Foundation</t>
        </is>
      </c>
      <c r="B5" s="18" t="n"/>
      <c r="C5" s="18" t="n"/>
      <c r="D5" s="18" t="n"/>
      <c r="E5" s="18" t="n"/>
      <c r="F5" s="18" t="n"/>
    </row>
    <row r="6">
      <c r="A6" s="19" t="n">
        <v>1</v>
      </c>
      <c r="B6" s="20" t="inlineStr">
        <is>
          <t>Phase 0 — Foundation</t>
        </is>
      </c>
      <c r="C6" s="20" t="inlineStr">
        <is>
          <t>Design Review</t>
        </is>
      </c>
      <c r="D6" s="19" t="inlineStr">
        <is>
          <t>Yes</t>
        </is>
      </c>
      <c r="E6" s="19" t="inlineStr">
        <is>
          <t>Yes</t>
        </is>
      </c>
      <c r="F6" s="19" t="inlineStr">
        <is>
          <t>Yes</t>
        </is>
      </c>
    </row>
    <row r="7">
      <c r="A7" s="19" t="n">
        <v>2</v>
      </c>
      <c r="B7" s="20" t="inlineStr">
        <is>
          <t>Phase 0 — Foundation</t>
        </is>
      </c>
      <c r="C7" s="20" t="inlineStr">
        <is>
          <t>Cloud Architecture &amp; Platform Setup</t>
        </is>
      </c>
      <c r="D7" s="19" t="inlineStr">
        <is>
          <t>Yes</t>
        </is>
      </c>
      <c r="E7" s="19" t="inlineStr">
        <is>
          <t>Yes</t>
        </is>
      </c>
      <c r="F7" s="19" t="inlineStr">
        <is>
          <t>Yes</t>
        </is>
      </c>
    </row>
    <row r="8">
      <c r="A8" s="19" t="n">
        <v>3</v>
      </c>
      <c r="B8" s="20" t="inlineStr">
        <is>
          <t>Phase 0 — Foundation</t>
        </is>
      </c>
      <c r="C8" s="20" t="inlineStr">
        <is>
          <t>Data Migration Planning</t>
        </is>
      </c>
      <c r="D8" s="19" t="inlineStr">
        <is>
          <t>No</t>
        </is>
      </c>
      <c r="E8" s="19" t="inlineStr">
        <is>
          <t>Yes</t>
        </is>
      </c>
      <c r="F8" s="19" t="inlineStr">
        <is>
          <t>Yes</t>
        </is>
      </c>
    </row>
    <row r="9">
      <c r="A9" s="19" t="n">
        <v>4</v>
      </c>
      <c r="B9" s="20" t="inlineStr">
        <is>
          <t>Phase 0 — Foundation</t>
        </is>
      </c>
      <c r="C9" s="20" t="inlineStr">
        <is>
          <t>Payment Provider Setup</t>
        </is>
      </c>
      <c r="D9" s="19" t="inlineStr">
        <is>
          <t>Yes</t>
        </is>
      </c>
      <c r="E9" s="19" t="inlineStr">
        <is>
          <t>Yes</t>
        </is>
      </c>
      <c r="F9" s="19" t="inlineStr">
        <is>
          <t>Yes</t>
        </is>
      </c>
    </row>
    <row r="10">
      <c r="A10" s="19" t="n">
        <v>5</v>
      </c>
      <c r="B10" s="20" t="inlineStr">
        <is>
          <t>Phase 0 — Foundation</t>
        </is>
      </c>
      <c r="C10" s="20" t="inlineStr">
        <is>
          <t>App Delivery Platform Enrollment</t>
        </is>
      </c>
      <c r="D10" s="19" t="inlineStr">
        <is>
          <t>Yes</t>
        </is>
      </c>
      <c r="E10" s="19" t="inlineStr">
        <is>
          <t>Yes</t>
        </is>
      </c>
      <c r="F10" s="19" t="inlineStr">
        <is>
          <t>No</t>
        </is>
      </c>
    </row>
    <row r="11">
      <c r="A11" s="19" t="n">
        <v>6</v>
      </c>
      <c r="B11" s="20" t="inlineStr">
        <is>
          <t>Phase 0 — Foundation</t>
        </is>
      </c>
      <c r="C11" s="20" t="inlineStr">
        <is>
          <t>Auth, Identity &amp; RBAC</t>
        </is>
      </c>
      <c r="D11" s="19" t="inlineStr">
        <is>
          <t>Yes</t>
        </is>
      </c>
      <c r="E11" s="19" t="inlineStr">
        <is>
          <t>Yes</t>
        </is>
      </c>
      <c r="F11" s="19" t="inlineStr">
        <is>
          <t>Yes</t>
        </is>
      </c>
    </row>
    <row r="12">
      <c r="A12" s="18" t="inlineStr">
        <is>
          <t>Phase 1 — v1.0</t>
        </is>
      </c>
      <c r="B12" s="18" t="n"/>
      <c r="C12" s="18" t="n"/>
      <c r="D12" s="18" t="n"/>
      <c r="E12" s="18" t="n"/>
      <c r="F12" s="18" t="n"/>
    </row>
    <row r="13">
      <c r="A13" s="19" t="n">
        <v>7</v>
      </c>
      <c r="B13" s="20" t="inlineStr">
        <is>
          <t>Phase 1 — v1.0</t>
        </is>
      </c>
      <c r="C13" s="20" t="inlineStr">
        <is>
          <t>Home &amp; Panchang</t>
        </is>
      </c>
      <c r="D13" s="19" t="inlineStr">
        <is>
          <t>Yes</t>
        </is>
      </c>
      <c r="E13" s="19" t="inlineStr">
        <is>
          <t>Yes</t>
        </is>
      </c>
      <c r="F13" s="19" t="inlineStr">
        <is>
          <t>Yes</t>
        </is>
      </c>
    </row>
    <row r="14">
      <c r="A14" s="19" t="n">
        <v>8</v>
      </c>
      <c r="B14" s="20" t="inlineStr">
        <is>
          <t>Phase 1 — v1.0</t>
        </is>
      </c>
      <c r="C14" s="20" t="inlineStr">
        <is>
          <t>Calendar &amp; Events</t>
        </is>
      </c>
      <c r="D14" s="19" t="inlineStr">
        <is>
          <t>Yes</t>
        </is>
      </c>
      <c r="E14" s="19" t="inlineStr">
        <is>
          <t>Yes</t>
        </is>
      </c>
      <c r="F14" s="19" t="inlineStr">
        <is>
          <t>Yes</t>
        </is>
      </c>
    </row>
    <row r="15">
      <c r="A15" s="19" t="n">
        <v>9</v>
      </c>
      <c r="B15" s="20" t="inlineStr">
        <is>
          <t>Phase 1 — v1.0</t>
        </is>
      </c>
      <c r="C15" s="20" t="inlineStr">
        <is>
          <t>Content &amp; Newsletter</t>
        </is>
      </c>
      <c r="D15" s="19" t="inlineStr">
        <is>
          <t>Yes</t>
        </is>
      </c>
      <c r="E15" s="19" t="inlineStr">
        <is>
          <t>Yes</t>
        </is>
      </c>
      <c r="F15" s="19" t="inlineStr">
        <is>
          <t>Yes</t>
        </is>
      </c>
    </row>
    <row r="16">
      <c r="A16" s="19" t="n">
        <v>10</v>
      </c>
      <c r="B16" s="20" t="inlineStr">
        <is>
          <t>Phase 1 — v1.0</t>
        </is>
      </c>
      <c r="C16" s="20" t="inlineStr">
        <is>
          <t>Payments &amp; Billing Infrastructure</t>
        </is>
      </c>
      <c r="D16" s="19" t="inlineStr">
        <is>
          <t>Yes</t>
        </is>
      </c>
      <c r="E16" s="19" t="inlineStr">
        <is>
          <t>Yes</t>
        </is>
      </c>
      <c r="F16" s="19" t="inlineStr">
        <is>
          <t>Yes</t>
        </is>
      </c>
    </row>
    <row r="17">
      <c r="A17" s="19" t="n">
        <v>11</v>
      </c>
      <c r="B17" s="20" t="inlineStr">
        <is>
          <t>Phase 1 — v1.0</t>
        </is>
      </c>
      <c r="C17" s="20" t="inlineStr">
        <is>
          <t>Admin — Shell, Dashboards &amp; Members</t>
        </is>
      </c>
      <c r="D17" s="19" t="inlineStr">
        <is>
          <t>No</t>
        </is>
      </c>
      <c r="E17" s="19" t="inlineStr">
        <is>
          <t>No</t>
        </is>
      </c>
      <c r="F17" s="19" t="inlineStr">
        <is>
          <t>Yes</t>
        </is>
      </c>
    </row>
    <row r="18">
      <c r="A18" s="19" t="n">
        <v>12</v>
      </c>
      <c r="B18" s="20" t="inlineStr">
        <is>
          <t>Phase 1 — v1.0</t>
        </is>
      </c>
      <c r="C18" s="20" t="inlineStr">
        <is>
          <t>Donations &amp; Causes</t>
        </is>
      </c>
      <c r="D18" s="19" t="inlineStr">
        <is>
          <t>Yes</t>
        </is>
      </c>
      <c r="E18" s="19" t="inlineStr">
        <is>
          <t>Yes</t>
        </is>
      </c>
      <c r="F18" s="19" t="inlineStr">
        <is>
          <t>Yes</t>
        </is>
      </c>
    </row>
    <row r="19">
      <c r="A19" s="19" t="n">
        <v>13</v>
      </c>
      <c r="B19" s="20" t="inlineStr">
        <is>
          <t>Phase 1 — v1.0</t>
        </is>
      </c>
      <c r="C19" s="20" t="inlineStr">
        <is>
          <t>Recurring Giving &amp; Subscriptions</t>
        </is>
      </c>
      <c r="D19" s="19" t="inlineStr">
        <is>
          <t>No</t>
        </is>
      </c>
      <c r="E19" s="19" t="inlineStr">
        <is>
          <t>Yes</t>
        </is>
      </c>
      <c r="F19" s="19" t="inlineStr">
        <is>
          <t>Yes</t>
        </is>
      </c>
    </row>
    <row r="20">
      <c r="A20" s="19" t="n">
        <v>14</v>
      </c>
      <c r="B20" s="20" t="inlineStr">
        <is>
          <t>Phase 1 — v1.0</t>
        </is>
      </c>
      <c r="C20" s="20" t="inlineStr">
        <is>
          <t>Membership, Family &amp; Dues</t>
        </is>
      </c>
      <c r="D20" s="19" t="inlineStr">
        <is>
          <t>Yes</t>
        </is>
      </c>
      <c r="E20" s="19" t="inlineStr">
        <is>
          <t>Yes</t>
        </is>
      </c>
      <c r="F20" s="19" t="inlineStr">
        <is>
          <t>Yes</t>
        </is>
      </c>
    </row>
    <row r="21">
      <c r="A21" s="19" t="n">
        <v>15</v>
      </c>
      <c r="B21" s="20" t="inlineStr">
        <is>
          <t>Phase 1 — v1.0</t>
        </is>
      </c>
      <c r="C21" s="20" t="inlineStr">
        <is>
          <t>Sponsorships &amp; Religious Calendar</t>
        </is>
      </c>
      <c r="D21" s="19" t="inlineStr">
        <is>
          <t>No</t>
        </is>
      </c>
      <c r="E21" s="19" t="inlineStr">
        <is>
          <t>Yes</t>
        </is>
      </c>
      <c r="F21" s="19" t="inlineStr">
        <is>
          <t>Yes</t>
        </is>
      </c>
    </row>
    <row r="22">
      <c r="A22" s="19" t="n">
        <v>16</v>
      </c>
      <c r="B22" s="20" t="inlineStr">
        <is>
          <t>Phase 1 — v1.0</t>
        </is>
      </c>
      <c r="C22" s="20" t="inlineStr">
        <is>
          <t>Community Feed &amp; Moderation</t>
        </is>
      </c>
      <c r="D22" s="19" t="inlineStr">
        <is>
          <t>No</t>
        </is>
      </c>
      <c r="E22" s="19" t="inlineStr">
        <is>
          <t>Yes</t>
        </is>
      </c>
      <c r="F22" s="19" t="inlineStr">
        <is>
          <t>Yes</t>
        </is>
      </c>
    </row>
    <row r="23">
      <c r="A23" s="19" t="n">
        <v>17</v>
      </c>
      <c r="B23" s="20" t="inlineStr">
        <is>
          <t>Phase 1 — v1.0</t>
        </is>
      </c>
      <c r="C23" s="20" t="inlineStr">
        <is>
          <t>Notifications &amp; Messaging</t>
        </is>
      </c>
      <c r="D23" s="19" t="inlineStr">
        <is>
          <t>No</t>
        </is>
      </c>
      <c r="E23" s="19" t="inlineStr">
        <is>
          <t>Yes</t>
        </is>
      </c>
      <c r="F23" s="19" t="inlineStr">
        <is>
          <t>Yes</t>
        </is>
      </c>
    </row>
    <row r="24">
      <c r="A24" s="19" t="n">
        <v>18</v>
      </c>
      <c r="B24" s="20" t="inlineStr">
        <is>
          <t>Phase 1 — v1.0</t>
        </is>
      </c>
      <c r="C24" s="20" t="inlineStr">
        <is>
          <t>Pathshala</t>
        </is>
      </c>
      <c r="D24" s="19" t="inlineStr">
        <is>
          <t>No</t>
        </is>
      </c>
      <c r="E24" s="19" t="inlineStr">
        <is>
          <t>Yes</t>
        </is>
      </c>
      <c r="F24" s="19" t="inlineStr">
        <is>
          <t>Yes</t>
        </is>
      </c>
    </row>
    <row r="25">
      <c r="A25" s="19" t="n">
        <v>19</v>
      </c>
      <c r="B25" s="20" t="inlineStr">
        <is>
          <t>Phase 1 — v1.0</t>
        </is>
      </c>
      <c r="C25" s="20" t="inlineStr">
        <is>
          <t>Volunteers &amp; Seva</t>
        </is>
      </c>
      <c r="D25" s="19" t="inlineStr">
        <is>
          <t>No</t>
        </is>
      </c>
      <c r="E25" s="19" t="inlineStr">
        <is>
          <t>Yes</t>
        </is>
      </c>
      <c r="F25" s="19" t="inlineStr">
        <is>
          <t>Yes</t>
        </is>
      </c>
    </row>
    <row r="26">
      <c r="A26" s="19" t="n">
        <v>20</v>
      </c>
      <c r="B26" s="20" t="inlineStr">
        <is>
          <t>Phase 1 — v1.0</t>
        </is>
      </c>
      <c r="C26" s="20" t="inlineStr">
        <is>
          <t>Live Darshan</t>
        </is>
      </c>
      <c r="D26" s="19" t="inlineStr">
        <is>
          <t>Yes</t>
        </is>
      </c>
      <c r="E26" s="19" t="inlineStr">
        <is>
          <t>Yes</t>
        </is>
      </c>
      <c r="F26" s="19" t="inlineStr">
        <is>
          <t>Yes</t>
        </is>
      </c>
    </row>
    <row r="27">
      <c r="A27" s="19" t="n">
        <v>21</v>
      </c>
      <c r="B27" s="20" t="inlineStr">
        <is>
          <t>Phase 1 — v1.0</t>
        </is>
      </c>
      <c r="C27" s="20" t="inlineStr">
        <is>
          <t>Admin — Governance &amp; Operations</t>
        </is>
      </c>
      <c r="D27" s="19" t="inlineStr">
        <is>
          <t>No</t>
        </is>
      </c>
      <c r="E27" s="19" t="inlineStr">
        <is>
          <t>No</t>
        </is>
      </c>
      <c r="F27" s="19" t="inlineStr">
        <is>
          <t>Yes</t>
        </is>
      </c>
    </row>
    <row r="28">
      <c r="A28" s="19" t="n">
        <v>22</v>
      </c>
      <c r="B28" s="20" t="inlineStr">
        <is>
          <t>Phase 1 — v1.0</t>
        </is>
      </c>
      <c r="C28" s="20" t="inlineStr">
        <is>
          <t>Public Web &amp; SEO</t>
        </is>
      </c>
      <c r="D28" s="19" t="inlineStr">
        <is>
          <t>Yes</t>
        </is>
      </c>
      <c r="E28" s="19" t="inlineStr">
        <is>
          <t>No</t>
        </is>
      </c>
      <c r="F28" s="19" t="inlineStr">
        <is>
          <t>Yes</t>
        </is>
      </c>
    </row>
    <row r="29">
      <c r="A29" s="19" t="n">
        <v>23</v>
      </c>
      <c r="B29" s="20" t="inlineStr">
        <is>
          <t>Phase 1 — v1.0</t>
        </is>
      </c>
      <c r="C29" s="20" t="inlineStr">
        <is>
          <t>Localization &amp; Accessibility</t>
        </is>
      </c>
      <c r="D29" s="19" t="inlineStr">
        <is>
          <t>Yes</t>
        </is>
      </c>
      <c r="E29" s="19" t="inlineStr">
        <is>
          <t>Yes</t>
        </is>
      </c>
      <c r="F29" s="19" t="inlineStr">
        <is>
          <t>Yes</t>
        </is>
      </c>
    </row>
    <row r="30">
      <c r="A30" s="19" t="n">
        <v>24</v>
      </c>
      <c r="B30" s="20" t="inlineStr">
        <is>
          <t>Phase 1 — v1.0</t>
        </is>
      </c>
      <c r="C30" s="20" t="inlineStr">
        <is>
          <t>Security, Testing &amp; QA</t>
        </is>
      </c>
      <c r="D30" s="19" t="inlineStr">
        <is>
          <t>Yes</t>
        </is>
      </c>
      <c r="E30" s="19" t="inlineStr">
        <is>
          <t>Yes</t>
        </is>
      </c>
      <c r="F30" s="19" t="inlineStr">
        <is>
          <t>Yes</t>
        </is>
      </c>
    </row>
    <row r="31">
      <c r="A31" s="19" t="n">
        <v>25</v>
      </c>
      <c r="B31" s="20" t="inlineStr">
        <is>
          <t>Phase 1 — v1.0</t>
        </is>
      </c>
      <c r="C31" s="20" t="inlineStr">
        <is>
          <t>Store &amp; Launch Readiness</t>
        </is>
      </c>
      <c r="D31" s="19" t="inlineStr">
        <is>
          <t>Yes</t>
        </is>
      </c>
      <c r="E31" s="19" t="inlineStr">
        <is>
          <t>Yes</t>
        </is>
      </c>
      <c r="F31" s="19" t="inlineStr">
        <is>
          <t>No</t>
        </is>
      </c>
    </row>
    <row r="32">
      <c r="A32" s="18" t="inlineStr">
        <is>
          <t>Phase 2 — v1.5</t>
        </is>
      </c>
      <c r="B32" s="18" t="n"/>
      <c r="C32" s="18" t="n"/>
      <c r="D32" s="18" t="n"/>
      <c r="E32" s="18" t="n"/>
      <c r="F32" s="18" t="n"/>
    </row>
    <row r="33">
      <c r="A33" s="19" t="n">
        <v>26</v>
      </c>
      <c r="B33" s="20" t="inlineStr">
        <is>
          <t>Phase 2 — v1.5</t>
        </is>
      </c>
      <c r="C33" s="20" t="inlineStr">
        <is>
          <t>Governance &amp; Documents</t>
        </is>
      </c>
      <c r="D33" s="19" t="inlineStr">
        <is>
          <t>No</t>
        </is>
      </c>
      <c r="E33" s="19" t="inlineStr">
        <is>
          <t>Yes</t>
        </is>
      </c>
      <c r="F33" s="19" t="inlineStr">
        <is>
          <t>Yes</t>
        </is>
      </c>
    </row>
    <row r="34">
      <c r="A34" s="19" t="n">
        <v>27</v>
      </c>
      <c r="B34" s="20" t="inlineStr">
        <is>
          <t>Phase 2 — v1.5</t>
        </is>
      </c>
      <c r="C34" s="20" t="inlineStr">
        <is>
          <t>Library, Jinvani &amp; Lectures</t>
        </is>
      </c>
      <c r="D34" s="19" t="inlineStr">
        <is>
          <t>Yes</t>
        </is>
      </c>
      <c r="E34" s="19" t="inlineStr">
        <is>
          <t>Yes</t>
        </is>
      </c>
      <c r="F34" s="19" t="inlineStr">
        <is>
          <t>Yes</t>
        </is>
      </c>
    </row>
    <row r="35">
      <c r="A35" s="19" t="n">
        <v>28</v>
      </c>
      <c r="B35" s="20" t="inlineStr">
        <is>
          <t>Phase 2 — v1.5</t>
        </is>
      </c>
      <c r="C35" s="20" t="inlineStr">
        <is>
          <t>Directory, Travel &amp; Facility Booking</t>
        </is>
      </c>
      <c r="D35" s="19" t="inlineStr">
        <is>
          <t>No</t>
        </is>
      </c>
      <c r="E35" s="19" t="inlineStr">
        <is>
          <t>Yes</t>
        </is>
      </c>
      <c r="F35" s="19" t="inlineStr">
        <is>
          <t>Yes</t>
        </is>
      </c>
    </row>
    <row r="36">
      <c r="A36" s="19" t="n">
        <v>29</v>
      </c>
      <c r="B36" s="20" t="inlineStr">
        <is>
          <t>Phase 2 — v1.5</t>
        </is>
      </c>
      <c r="C36" s="20" t="inlineStr">
        <is>
          <t>Recognition Programs</t>
        </is>
      </c>
      <c r="D36" s="19" t="inlineStr">
        <is>
          <t>Yes</t>
        </is>
      </c>
      <c r="E36" s="19" t="inlineStr">
        <is>
          <t>Yes</t>
        </is>
      </c>
      <c r="F36" s="19" t="inlineStr">
        <is>
          <t>Yes</t>
        </is>
      </c>
    </row>
    <row r="37">
      <c r="A37" s="19" t="n">
        <v>30</v>
      </c>
      <c r="B37" s="20" t="inlineStr">
        <is>
          <t>Phase 2 — v1.5</t>
        </is>
      </c>
      <c r="C37" s="20" t="inlineStr">
        <is>
          <t>Youth &amp; YJA</t>
        </is>
      </c>
      <c r="D37" s="19" t="inlineStr">
        <is>
          <t>No</t>
        </is>
      </c>
      <c r="E37" s="19" t="inlineStr">
        <is>
          <t>Yes</t>
        </is>
      </c>
      <c r="F37" s="19" t="inlineStr">
        <is>
          <t>Yes</t>
        </is>
      </c>
    </row>
    <row r="38">
      <c r="A38" s="19" t="n">
        <v>31</v>
      </c>
      <c r="B38" s="20" t="inlineStr">
        <is>
          <t>Phase 2 — v1.5</t>
        </is>
      </c>
      <c r="C38" s="20" t="inlineStr">
        <is>
          <t>Past Events &amp; Gallery</t>
        </is>
      </c>
      <c r="D38" s="19" t="inlineStr">
        <is>
          <t>Yes</t>
        </is>
      </c>
      <c r="E38" s="19" t="inlineStr">
        <is>
          <t>Yes</t>
        </is>
      </c>
      <c r="F38" s="19" t="inlineStr">
        <is>
          <t>Yes</t>
        </is>
      </c>
    </row>
    <row r="39">
      <c r="A39" s="19" t="n">
        <v>32</v>
      </c>
      <c r="B39" s="20" t="inlineStr">
        <is>
          <t>Phase 2 — v1.5</t>
        </is>
      </c>
      <c r="C39" s="20" t="inlineStr">
        <is>
          <t>Reports &amp; Analytics v2</t>
        </is>
      </c>
      <c r="D39" s="19" t="inlineStr">
        <is>
          <t>No</t>
        </is>
      </c>
      <c r="E39" s="19" t="inlineStr">
        <is>
          <t>No</t>
        </is>
      </c>
      <c r="F39" s="19" t="inlineStr">
        <is>
          <t>Yes</t>
        </is>
      </c>
    </row>
    <row r="40">
      <c r="A40" s="19" t="n">
        <v>33</v>
      </c>
      <c r="B40" s="20" t="inlineStr">
        <is>
          <t>Phase 2 — v1.5</t>
        </is>
      </c>
      <c r="C40" s="20" t="inlineStr">
        <is>
          <t>Hindi &amp; Gujarati Localization</t>
        </is>
      </c>
      <c r="D40" s="19" t="inlineStr">
        <is>
          <t>Yes</t>
        </is>
      </c>
      <c r="E40" s="19" t="inlineStr">
        <is>
          <t>Yes</t>
        </is>
      </c>
      <c r="F40" s="19" t="inlineStr">
        <is>
          <t>Yes</t>
        </is>
      </c>
    </row>
    <row r="41">
      <c r="A41" s="19" t="n">
        <v>34</v>
      </c>
      <c r="B41" s="20" t="inlineStr">
        <is>
          <t>Phase 2 — v1.5</t>
        </is>
      </c>
      <c r="C41" s="20" t="inlineStr">
        <is>
          <t>v1.5 Hardening &amp; Release</t>
        </is>
      </c>
      <c r="D41" s="19" t="inlineStr">
        <is>
          <t>Yes</t>
        </is>
      </c>
      <c r="E41" s="19" t="inlineStr">
        <is>
          <t>Yes</t>
        </is>
      </c>
      <c r="F41" s="19" t="inlineStr">
        <is>
          <t>Yes</t>
        </is>
      </c>
    </row>
    <row r="42">
      <c r="A42" s="18" t="inlineStr">
        <is>
          <t>Phase 3 — v2.0</t>
        </is>
      </c>
      <c r="B42" s="18" t="n"/>
      <c r="C42" s="18" t="n"/>
      <c r="D42" s="18" t="n"/>
      <c r="E42" s="18" t="n"/>
      <c r="F42" s="18" t="n"/>
    </row>
    <row r="43">
      <c r="A43" s="19" t="n">
        <v>35</v>
      </c>
      <c r="B43" s="20" t="inlineStr">
        <is>
          <t>Phase 3 — v2.0</t>
        </is>
      </c>
      <c r="C43" s="20" t="inlineStr">
        <is>
          <t>Jain Philosophy Module</t>
        </is>
      </c>
      <c r="D43" s="19" t="inlineStr">
        <is>
          <t>Yes</t>
        </is>
      </c>
      <c r="E43" s="19" t="inlineStr">
        <is>
          <t>Yes</t>
        </is>
      </c>
      <c r="F43" s="19" t="inlineStr">
        <is>
          <t>Yes</t>
        </is>
      </c>
    </row>
    <row r="44">
      <c r="A44" s="19" t="n">
        <v>36</v>
      </c>
      <c r="B44" s="20" t="inlineStr">
        <is>
          <t>Phase 3 — v2.0</t>
        </is>
      </c>
      <c r="C44" s="20" t="inlineStr">
        <is>
          <t>JCA Cares</t>
        </is>
      </c>
      <c r="D44" s="19" t="inlineStr">
        <is>
          <t>No</t>
        </is>
      </c>
      <c r="E44" s="19" t="inlineStr">
        <is>
          <t>Yes</t>
        </is>
      </c>
      <c r="F44" s="19" t="inlineStr">
        <is>
          <t>Yes</t>
        </is>
      </c>
    </row>
    <row r="45">
      <c r="A45" s="19" t="n">
        <v>37</v>
      </c>
      <c r="B45" s="20" t="inlineStr">
        <is>
          <t>Phase 3 — v2.0</t>
        </is>
      </c>
      <c r="C45" s="20" t="inlineStr">
        <is>
          <t>v2.0 Hardening &amp; Release</t>
        </is>
      </c>
      <c r="D45" s="19" t="inlineStr">
        <is>
          <t>Yes</t>
        </is>
      </c>
      <c r="E45" s="19" t="inlineStr">
        <is>
          <t>Yes</t>
        </is>
      </c>
      <c r="F45" s="19" t="inlineStr">
        <is>
          <t>Yes</t>
        </is>
      </c>
    </row>
    <row r="46">
      <c r="A46" s="19" t="n">
        <v>38</v>
      </c>
      <c r="B46" s="20" t="inlineStr">
        <is>
          <t>Phase 3 — v2.0</t>
        </is>
      </c>
      <c r="C46" s="20" t="inlineStr">
        <is>
          <t>AI Chat (contingent workstream)</t>
        </is>
      </c>
      <c r="D46" s="19" t="inlineStr">
        <is>
          <t>No</t>
        </is>
      </c>
      <c r="E46" s="19" t="inlineStr">
        <is>
          <t>Yes</t>
        </is>
      </c>
      <c r="F46" s="19" t="inlineStr">
        <is>
          <t>Yes</t>
        </is>
      </c>
    </row>
    <row r="47">
      <c r="A47" s="21" t="n"/>
      <c r="B47" s="21" t="n"/>
      <c r="C47" s="22" t="inlineStr">
        <is>
          <t>Features with access (Yes)</t>
        </is>
      </c>
      <c r="D47" s="23">
        <f>COUNTIF(D6:D46,"Yes")</f>
        <v/>
      </c>
      <c r="E47" s="23">
        <f>COUNTIF(E6:E46,"Yes")</f>
        <v/>
      </c>
      <c r="F47" s="23">
        <f>COUNTIF(F6:F46,"Yes")</f>
        <v/>
      </c>
    </row>
  </sheetData>
  <mergeCells count="2">
    <mergeCell ref="A2:F2"/>
    <mergeCell ref="A1:F1"/>
  </mergeCells>
  <conditionalFormatting sqref="D6:D46">
    <cfRule type="cellIs" priority="1" operator="equal" dxfId="0">
      <formula>"Yes"</formula>
    </cfRule>
    <cfRule type="cellIs" priority="2" operator="equal" dxfId="1">
      <formula>"No"</formula>
    </cfRule>
  </conditionalFormatting>
  <conditionalFormatting sqref="E6:E46">
    <cfRule type="cellIs" priority="3" operator="equal" dxfId="0">
      <formula>"Yes"</formula>
    </cfRule>
    <cfRule type="cellIs" priority="4" operator="equal" dxfId="1">
      <formula>"No"</formula>
    </cfRule>
  </conditionalFormatting>
  <conditionalFormatting sqref="F6:F46">
    <cfRule type="cellIs" priority="5" operator="equal" dxfId="0">
      <formula>"Yes"</formula>
    </cfRule>
    <cfRule type="cellIs" priority="6" operator="equal" dxfId="1">
      <formula>"No"</formula>
    </cfRule>
  </conditionalFormatting>
  <dataValidations count="1">
    <dataValidation sqref="D6 D7 D8 D9 D10 D11 D13 D14 D15 D16 D17 D18 D19 D20 D21 D22 D23 D24 D25 D26 D27 D28 D29 D30 D31 D33 D34 D35 D36 D37 D38 D39 D40 D41 D43 D44 D45 D46 E6 E7 E8 E9 E10 E11 E13 E14 E15 E16 E17 E18 E19 E20 E21 E22 E23 E24 E25 E26 E27 E28 E29 E30 E31 E33 E34 E35 E36 E37 E38 E39 E40 E41 E43 E44 E45 E46 F6 F7 F8 F9 F10 F11 F13 F14 F15 F16 F17 F18 F19 F20 F21 F22 F23 F24 F25 F26 F27 F28 F29 F30 F31 F33 F34 F35 F36 F37 F38 F39 F40 F41 F43 F44 F45 F46"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H49"/>
  <sheetViews>
    <sheetView workbookViewId="0">
      <pane xSplit="8" ySplit="7" topLeftCell="I8" activePane="bottomRight" state="frozen"/>
      <selection pane="topRight"/>
      <selection pane="bottomLeft"/>
      <selection pane="bottomRight" activeCell="A1" sqref="A1"/>
    </sheetView>
  </sheetViews>
  <sheetFormatPr baseColWidth="8" defaultRowHeight="15"/>
  <cols>
    <col width="20" customWidth="1" style="14" min="1" max="1"/>
    <col width="38" customWidth="1" style="14" min="2" max="2"/>
    <col width="7" customWidth="1" style="14" min="3" max="3"/>
    <col width="9" customWidth="1" style="14" min="4" max="4"/>
    <col width="7" customWidth="1" style="14" min="5" max="5"/>
    <col width="11" customWidth="1" style="14" min="6" max="6"/>
    <col width="11" customWidth="1" style="14" min="7" max="7"/>
    <col width="7" customWidth="1" style="14" min="8" max="8"/>
    <col width="3.3" customWidth="1" style="14" min="9" max="9"/>
    <col width="3.3" customWidth="1" style="14" min="10" max="10"/>
    <col width="3.3" customWidth="1" style="14" min="11" max="11"/>
    <col width="3.3" customWidth="1" style="14" min="12" max="12"/>
    <col width="3.3" customWidth="1" style="14" min="13" max="13"/>
    <col width="3.3" customWidth="1" style="14" min="14" max="14"/>
    <col width="3.3" customWidth="1" style="14" min="15" max="15"/>
    <col width="3.3" customWidth="1" style="14" min="16" max="16"/>
    <col width="3.3" customWidth="1" style="14" min="17" max="17"/>
    <col width="3.3" customWidth="1" style="14" min="18" max="18"/>
    <col width="3.3" customWidth="1" style="14" min="19" max="19"/>
    <col width="3.3" customWidth="1" style="14" min="20" max="20"/>
    <col width="3.3" customWidth="1" style="14" min="21" max="21"/>
    <col width="3.3" customWidth="1" style="14" min="22" max="22"/>
    <col width="3.3" customWidth="1" style="14" min="23" max="23"/>
    <col width="3.3" customWidth="1" style="14" min="24" max="24"/>
    <col width="3.3" customWidth="1" style="14" min="25" max="25"/>
    <col width="3.3" customWidth="1" style="14" min="26" max="26"/>
    <col width="3.3" customWidth="1" style="14" min="27" max="27"/>
    <col width="3.3" customWidth="1" style="14" min="28" max="28"/>
    <col width="3.3" customWidth="1" style="14" min="29" max="29"/>
    <col width="3.3" customWidth="1" style="14" min="30" max="30"/>
    <col width="3.3" customWidth="1" style="14" min="31" max="31"/>
    <col width="3.3" customWidth="1" style="14" min="32" max="32"/>
    <col width="3.3" customWidth="1" style="14" min="33" max="33"/>
    <col width="3.3" customWidth="1" style="14" min="34" max="34"/>
    <col width="3.3" customWidth="1" style="14" min="35" max="35"/>
    <col width="3.3" customWidth="1" style="14" min="36" max="36"/>
    <col width="3.3" customWidth="1" style="14" min="37" max="37"/>
    <col width="3.3" customWidth="1" style="14" min="38" max="38"/>
    <col width="3.3" customWidth="1" style="14" min="39" max="39"/>
    <col width="3.3" customWidth="1" style="14" min="40" max="40"/>
    <col width="3.3" customWidth="1" style="14" min="41" max="41"/>
    <col width="3.3" customWidth="1" style="14" min="42" max="42"/>
    <col width="3.3" customWidth="1" style="14" min="43" max="43"/>
    <col width="3.3" customWidth="1" style="14" min="44" max="44"/>
    <col width="3.3" customWidth="1" style="14" min="45" max="45"/>
    <col width="3.3" customWidth="1" style="14" min="46" max="46"/>
    <col width="3.3" customWidth="1" style="14" min="47" max="47"/>
    <col width="3.3" customWidth="1" style="14" min="48" max="48"/>
    <col width="3.3" customWidth="1" style="14" min="49" max="49"/>
    <col width="3.3" customWidth="1" style="14" min="50" max="50"/>
    <col width="3.3" customWidth="1" style="14" min="51" max="51"/>
    <col width="3.3" customWidth="1" style="14" min="52" max="52"/>
    <col width="3.3" customWidth="1" style="14" min="53" max="53"/>
    <col width="3.3" customWidth="1" style="14" min="54" max="54"/>
    <col width="3.3" customWidth="1" style="14" min="55" max="55"/>
    <col width="3.3" customWidth="1" style="14" min="56" max="56"/>
    <col width="3.3" customWidth="1" style="14" min="57" max="57"/>
    <col width="3.3" customWidth="1" style="14" min="58" max="58"/>
    <col width="3.3" customWidth="1" style="14" min="59" max="59"/>
    <col width="3.3" customWidth="1" style="14" min="60" max="60"/>
    <col width="3.3" customWidth="1" style="14" min="61" max="61"/>
    <col width="3.3" customWidth="1" style="14" min="62" max="62"/>
    <col width="3.3" customWidth="1" style="14" min="63" max="63"/>
    <col width="3.3" customWidth="1" style="14" min="64" max="64"/>
    <col width="3.3" customWidth="1" style="14" min="65" max="65"/>
    <col width="3.3" customWidth="1" style="14" min="66" max="66"/>
    <col width="3.3" customWidth="1" style="14" min="67" max="67"/>
    <col width="3.3" customWidth="1" style="14" min="68" max="68"/>
    <col width="3.3" customWidth="1" style="14" min="69" max="69"/>
    <col width="3.3" customWidth="1" style="14" min="70" max="70"/>
    <col width="3.3" customWidth="1" style="14" min="71" max="71"/>
    <col width="3.3" customWidth="1" style="14" min="72" max="72"/>
    <col width="3.3" customWidth="1" style="14" min="73" max="73"/>
    <col width="3.3" customWidth="1" style="14" min="74" max="74"/>
    <col width="3.3" customWidth="1" style="14" min="75" max="75"/>
    <col width="3.3" customWidth="1" style="14" min="76" max="76"/>
    <col width="3.3" customWidth="1" style="14" min="77" max="77"/>
    <col width="3.3" customWidth="1" style="14" min="78" max="78"/>
    <col width="3.3" customWidth="1" style="14" min="79" max="79"/>
    <col width="3.3" customWidth="1" style="14" min="80" max="80"/>
    <col width="3.3" customWidth="1" style="14" min="81" max="81"/>
    <col width="3.3" customWidth="1" style="14" min="82" max="82"/>
    <col width="3.3" customWidth="1" style="14" min="83" max="83"/>
    <col width="3.3" customWidth="1" style="14" min="84" max="84"/>
    <col width="3.3" customWidth="1" style="14" min="85" max="85"/>
    <col width="3.3" customWidth="1" style="14" min="86" max="86"/>
    <col width="3.3" customWidth="1" style="14" min="87" max="87"/>
    <col width="3.3" customWidth="1" style="14" min="88" max="88"/>
    <col width="3.3" customWidth="1" style="14" min="89" max="89"/>
    <col width="3.3" customWidth="1" style="14" min="90" max="90"/>
    <col width="3.3" customWidth="1" style="14" min="91" max="91"/>
    <col width="3.3" customWidth="1" style="14" min="92" max="92"/>
    <col width="3.3" customWidth="1" style="14" min="93" max="93"/>
    <col width="3.3" customWidth="1" style="14" min="94" max="94"/>
    <col width="3.3" customWidth="1" style="14" min="95" max="95"/>
    <col width="3.3" customWidth="1" style="14" min="96" max="96"/>
    <col width="3.3" customWidth="1" style="14" min="97" max="97"/>
    <col width="3.3" customWidth="1" style="14" min="98" max="98"/>
    <col width="3.3" customWidth="1" style="14" min="99" max="99"/>
    <col width="3.3" customWidth="1" style="14" min="100" max="100"/>
    <col width="3.3" customWidth="1" style="14" min="101" max="101"/>
    <col width="3.3" customWidth="1" style="14" min="102" max="102"/>
    <col width="3.3" customWidth="1" style="14" min="103" max="103"/>
    <col width="3.3" customWidth="1" style="14" min="104" max="104"/>
    <col width="3.3" customWidth="1" style="14" min="105" max="105"/>
    <col width="3.3" customWidth="1" style="14" min="106" max="106"/>
    <col width="3.3" customWidth="1" style="14" min="107" max="107"/>
    <col width="3.3" customWidth="1" style="14" min="108" max="108"/>
    <col width="3.3" customWidth="1" style="14" min="109" max="109"/>
    <col width="3.3" customWidth="1" style="14" min="110" max="110"/>
    <col width="3.3" customWidth="1" style="14" min="111" max="111"/>
    <col width="3.3" customWidth="1" style="14" min="112" max="112"/>
  </cols>
  <sheetData>
    <row r="1">
      <c r="A1" s="15" t="inlineStr">
        <is>
          <t>Gantt — feature timeline</t>
        </is>
      </c>
    </row>
    <row r="2" ht="30" customHeight="1" s="14">
      <c r="A2" s="16" t="inlineStr">
        <is>
          <t>Edit the yellow Start / End cells (or the Project start) and the bars redraw. Dates follow the delivery plan (Phase 0: 5-16 Oct; Phases 1-3 overlap within 18 Oct - 15 Jan). Overtype any date to re-plan.</t>
        </is>
      </c>
    </row>
    <row r="3">
      <c r="B3" s="24" t="inlineStr">
        <is>
          <t>Project start</t>
        </is>
      </c>
      <c r="C3" s="36" t="n">
        <v>46300</v>
      </c>
    </row>
    <row r="5">
      <c r="A5" s="26" t="n"/>
      <c r="B5" s="26" t="n"/>
      <c r="C5" s="26" t="n"/>
      <c r="D5" s="26" t="n"/>
      <c r="E5" s="26" t="n"/>
      <c r="F5" s="26" t="n"/>
      <c r="G5" s="26" t="n"/>
      <c r="H5" s="26" t="n"/>
      <c r="I5" s="27">
        <f>TEXT(I6,"mmm yy")</f>
        <v/>
      </c>
      <c r="J5" s="27">
        <f>IF(MONTH(J6)&lt;&gt;MONTH(I6),TEXT(J6,"mmm yy"),"")</f>
        <v/>
      </c>
      <c r="K5" s="27">
        <f>IF(MONTH(K6)&lt;&gt;MONTH(J6),TEXT(K6,"mmm yy"),"")</f>
        <v/>
      </c>
      <c r="L5" s="27">
        <f>IF(MONTH(L6)&lt;&gt;MONTH(K6),TEXT(L6,"mmm yy"),"")</f>
        <v/>
      </c>
      <c r="M5" s="27">
        <f>IF(MONTH(M6)&lt;&gt;MONTH(L6),TEXT(M6,"mmm yy"),"")</f>
        <v/>
      </c>
      <c r="N5" s="27">
        <f>IF(MONTH(N6)&lt;&gt;MONTH(M6),TEXT(N6,"mmm yy"),"")</f>
        <v/>
      </c>
      <c r="O5" s="27">
        <f>IF(MONTH(O6)&lt;&gt;MONTH(N6),TEXT(O6,"mmm yy"),"")</f>
        <v/>
      </c>
      <c r="P5" s="27">
        <f>IF(MONTH(P6)&lt;&gt;MONTH(O6),TEXT(P6,"mmm yy"),"")</f>
        <v/>
      </c>
      <c r="Q5" s="27">
        <f>IF(MONTH(Q6)&lt;&gt;MONTH(P6),TEXT(Q6,"mmm yy"),"")</f>
        <v/>
      </c>
      <c r="R5" s="27">
        <f>IF(MONTH(R6)&lt;&gt;MONTH(Q6),TEXT(R6,"mmm yy"),"")</f>
        <v/>
      </c>
      <c r="S5" s="27">
        <f>IF(MONTH(S6)&lt;&gt;MONTH(R6),TEXT(S6,"mmm yy"),"")</f>
        <v/>
      </c>
      <c r="T5" s="27">
        <f>IF(MONTH(T6)&lt;&gt;MONTH(S6),TEXT(T6,"mmm yy"),"")</f>
        <v/>
      </c>
      <c r="U5" s="27">
        <f>IF(MONTH(U6)&lt;&gt;MONTH(T6),TEXT(U6,"mmm yy"),"")</f>
        <v/>
      </c>
      <c r="V5" s="27">
        <f>IF(MONTH(V6)&lt;&gt;MONTH(U6),TEXT(V6,"mmm yy"),"")</f>
        <v/>
      </c>
      <c r="W5" s="27">
        <f>IF(MONTH(W6)&lt;&gt;MONTH(V6),TEXT(W6,"mmm yy"),"")</f>
        <v/>
      </c>
      <c r="X5" s="27">
        <f>IF(MONTH(X6)&lt;&gt;MONTH(W6),TEXT(X6,"mmm yy"),"")</f>
        <v/>
      </c>
      <c r="Y5" s="27">
        <f>IF(MONTH(Y6)&lt;&gt;MONTH(X6),TEXT(Y6,"mmm yy"),"")</f>
        <v/>
      </c>
      <c r="Z5" s="27">
        <f>IF(MONTH(Z6)&lt;&gt;MONTH(Y6),TEXT(Z6,"mmm yy"),"")</f>
        <v/>
      </c>
      <c r="AA5" s="27">
        <f>IF(MONTH(AA6)&lt;&gt;MONTH(Z6),TEXT(AA6,"mmm yy"),"")</f>
        <v/>
      </c>
      <c r="AB5" s="27">
        <f>IF(MONTH(AB6)&lt;&gt;MONTH(AA6),TEXT(AB6,"mmm yy"),"")</f>
        <v/>
      </c>
      <c r="AC5" s="27">
        <f>IF(MONTH(AC6)&lt;&gt;MONTH(AB6),TEXT(AC6,"mmm yy"),"")</f>
        <v/>
      </c>
      <c r="AD5" s="27">
        <f>IF(MONTH(AD6)&lt;&gt;MONTH(AC6),TEXT(AD6,"mmm yy"),"")</f>
        <v/>
      </c>
      <c r="AE5" s="27">
        <f>IF(MONTH(AE6)&lt;&gt;MONTH(AD6),TEXT(AE6,"mmm yy"),"")</f>
        <v/>
      </c>
      <c r="AF5" s="27">
        <f>IF(MONTH(AF6)&lt;&gt;MONTH(AE6),TEXT(AF6,"mmm yy"),"")</f>
        <v/>
      </c>
      <c r="AG5" s="27">
        <f>IF(MONTH(AG6)&lt;&gt;MONTH(AF6),TEXT(AG6,"mmm yy"),"")</f>
        <v/>
      </c>
      <c r="AH5" s="27">
        <f>IF(MONTH(AH6)&lt;&gt;MONTH(AG6),TEXT(AH6,"mmm yy"),"")</f>
        <v/>
      </c>
      <c r="AI5" s="27">
        <f>IF(MONTH(AI6)&lt;&gt;MONTH(AH6),TEXT(AI6,"mmm yy"),"")</f>
        <v/>
      </c>
      <c r="AJ5" s="27">
        <f>IF(MONTH(AJ6)&lt;&gt;MONTH(AI6),TEXT(AJ6,"mmm yy"),"")</f>
        <v/>
      </c>
      <c r="AK5" s="27">
        <f>IF(MONTH(AK6)&lt;&gt;MONTH(AJ6),TEXT(AK6,"mmm yy"),"")</f>
        <v/>
      </c>
      <c r="AL5" s="27">
        <f>IF(MONTH(AL6)&lt;&gt;MONTH(AK6),TEXT(AL6,"mmm yy"),"")</f>
        <v/>
      </c>
      <c r="AM5" s="27">
        <f>IF(MONTH(AM6)&lt;&gt;MONTH(AL6),TEXT(AM6,"mmm yy"),"")</f>
        <v/>
      </c>
      <c r="AN5" s="27">
        <f>IF(MONTH(AN6)&lt;&gt;MONTH(AM6),TEXT(AN6,"mmm yy"),"")</f>
        <v/>
      </c>
      <c r="AO5" s="27">
        <f>IF(MONTH(AO6)&lt;&gt;MONTH(AN6),TEXT(AO6,"mmm yy"),"")</f>
        <v/>
      </c>
      <c r="AP5" s="27">
        <f>IF(MONTH(AP6)&lt;&gt;MONTH(AO6),TEXT(AP6,"mmm yy"),"")</f>
        <v/>
      </c>
      <c r="AQ5" s="27">
        <f>IF(MONTH(AQ6)&lt;&gt;MONTH(AP6),TEXT(AQ6,"mmm yy"),"")</f>
        <v/>
      </c>
      <c r="AR5" s="27">
        <f>IF(MONTH(AR6)&lt;&gt;MONTH(AQ6),TEXT(AR6,"mmm yy"),"")</f>
        <v/>
      </c>
      <c r="AS5" s="27">
        <f>IF(MONTH(AS6)&lt;&gt;MONTH(AR6),TEXT(AS6,"mmm yy"),"")</f>
        <v/>
      </c>
      <c r="AT5" s="27">
        <f>IF(MONTH(AT6)&lt;&gt;MONTH(AS6),TEXT(AT6,"mmm yy"),"")</f>
        <v/>
      </c>
      <c r="AU5" s="27">
        <f>IF(MONTH(AU6)&lt;&gt;MONTH(AT6),TEXT(AU6,"mmm yy"),"")</f>
        <v/>
      </c>
      <c r="AV5" s="27">
        <f>IF(MONTH(AV6)&lt;&gt;MONTH(AU6),TEXT(AV6,"mmm yy"),"")</f>
        <v/>
      </c>
      <c r="AW5" s="27">
        <f>IF(MONTH(AW6)&lt;&gt;MONTH(AV6),TEXT(AW6,"mmm yy"),"")</f>
        <v/>
      </c>
      <c r="AX5" s="27">
        <f>IF(MONTH(AX6)&lt;&gt;MONTH(AW6),TEXT(AX6,"mmm yy"),"")</f>
        <v/>
      </c>
      <c r="AY5" s="27">
        <f>IF(MONTH(AY6)&lt;&gt;MONTH(AX6),TEXT(AY6,"mmm yy"),"")</f>
        <v/>
      </c>
      <c r="AZ5" s="27">
        <f>IF(MONTH(AZ6)&lt;&gt;MONTH(AY6),TEXT(AZ6,"mmm yy"),"")</f>
        <v/>
      </c>
      <c r="BA5" s="27">
        <f>IF(MONTH(BA6)&lt;&gt;MONTH(AZ6),TEXT(BA6,"mmm yy"),"")</f>
        <v/>
      </c>
      <c r="BB5" s="27">
        <f>IF(MONTH(BB6)&lt;&gt;MONTH(BA6),TEXT(BB6,"mmm yy"),"")</f>
        <v/>
      </c>
      <c r="BC5" s="27">
        <f>IF(MONTH(BC6)&lt;&gt;MONTH(BB6),TEXT(BC6,"mmm yy"),"")</f>
        <v/>
      </c>
      <c r="BD5" s="27">
        <f>IF(MONTH(BD6)&lt;&gt;MONTH(BC6),TEXT(BD6,"mmm yy"),"")</f>
        <v/>
      </c>
      <c r="BE5" s="27">
        <f>IF(MONTH(BE6)&lt;&gt;MONTH(BD6),TEXT(BE6,"mmm yy"),"")</f>
        <v/>
      </c>
      <c r="BF5" s="27">
        <f>IF(MONTH(BF6)&lt;&gt;MONTH(BE6),TEXT(BF6,"mmm yy"),"")</f>
        <v/>
      </c>
      <c r="BG5" s="27">
        <f>IF(MONTH(BG6)&lt;&gt;MONTH(BF6),TEXT(BG6,"mmm yy"),"")</f>
        <v/>
      </c>
      <c r="BH5" s="27">
        <f>IF(MONTH(BH6)&lt;&gt;MONTH(BG6),TEXT(BH6,"mmm yy"),"")</f>
        <v/>
      </c>
      <c r="BI5" s="27">
        <f>IF(MONTH(BI6)&lt;&gt;MONTH(BH6),TEXT(BI6,"mmm yy"),"")</f>
        <v/>
      </c>
      <c r="BJ5" s="27">
        <f>IF(MONTH(BJ6)&lt;&gt;MONTH(BI6),TEXT(BJ6,"mmm yy"),"")</f>
        <v/>
      </c>
      <c r="BK5" s="27">
        <f>IF(MONTH(BK6)&lt;&gt;MONTH(BJ6),TEXT(BK6,"mmm yy"),"")</f>
        <v/>
      </c>
      <c r="BL5" s="27">
        <f>IF(MONTH(BL6)&lt;&gt;MONTH(BK6),TEXT(BL6,"mmm yy"),"")</f>
        <v/>
      </c>
      <c r="BM5" s="27">
        <f>IF(MONTH(BM6)&lt;&gt;MONTH(BL6),TEXT(BM6,"mmm yy"),"")</f>
        <v/>
      </c>
      <c r="BN5" s="27">
        <f>IF(MONTH(BN6)&lt;&gt;MONTH(BM6),TEXT(BN6,"mmm yy"),"")</f>
        <v/>
      </c>
      <c r="BO5" s="27">
        <f>IF(MONTH(BO6)&lt;&gt;MONTH(BN6),TEXT(BO6,"mmm yy"),"")</f>
        <v/>
      </c>
      <c r="BP5" s="27">
        <f>IF(MONTH(BP6)&lt;&gt;MONTH(BO6),TEXT(BP6,"mmm yy"),"")</f>
        <v/>
      </c>
      <c r="BQ5" s="27">
        <f>IF(MONTH(BQ6)&lt;&gt;MONTH(BP6),TEXT(BQ6,"mmm yy"),"")</f>
        <v/>
      </c>
      <c r="BR5" s="27">
        <f>IF(MONTH(BR6)&lt;&gt;MONTH(BQ6),TEXT(BR6,"mmm yy"),"")</f>
        <v/>
      </c>
      <c r="BS5" s="27">
        <f>IF(MONTH(BS6)&lt;&gt;MONTH(BR6),TEXT(BS6,"mmm yy"),"")</f>
        <v/>
      </c>
      <c r="BT5" s="27">
        <f>IF(MONTH(BT6)&lt;&gt;MONTH(BS6),TEXT(BT6,"mmm yy"),"")</f>
        <v/>
      </c>
      <c r="BU5" s="27">
        <f>IF(MONTH(BU6)&lt;&gt;MONTH(BT6),TEXT(BU6,"mmm yy"),"")</f>
        <v/>
      </c>
      <c r="BV5" s="27">
        <f>IF(MONTH(BV6)&lt;&gt;MONTH(BU6),TEXT(BV6,"mmm yy"),"")</f>
        <v/>
      </c>
      <c r="BW5" s="27">
        <f>IF(MONTH(BW6)&lt;&gt;MONTH(BV6),TEXT(BW6,"mmm yy"),"")</f>
        <v/>
      </c>
      <c r="BX5" s="27">
        <f>IF(MONTH(BX6)&lt;&gt;MONTH(BW6),TEXT(BX6,"mmm yy"),"")</f>
        <v/>
      </c>
      <c r="BY5" s="27">
        <f>IF(MONTH(BY6)&lt;&gt;MONTH(BX6),TEXT(BY6,"mmm yy"),"")</f>
        <v/>
      </c>
      <c r="BZ5" s="27">
        <f>IF(MONTH(BZ6)&lt;&gt;MONTH(BY6),TEXT(BZ6,"mmm yy"),"")</f>
        <v/>
      </c>
      <c r="CA5" s="27">
        <f>IF(MONTH(CA6)&lt;&gt;MONTH(BZ6),TEXT(CA6,"mmm yy"),"")</f>
        <v/>
      </c>
      <c r="CB5" s="27">
        <f>IF(MONTH(CB6)&lt;&gt;MONTH(CA6),TEXT(CB6,"mmm yy"),"")</f>
        <v/>
      </c>
      <c r="CC5" s="27">
        <f>IF(MONTH(CC6)&lt;&gt;MONTH(CB6),TEXT(CC6,"mmm yy"),"")</f>
        <v/>
      </c>
      <c r="CD5" s="27">
        <f>IF(MONTH(CD6)&lt;&gt;MONTH(CC6),TEXT(CD6,"mmm yy"),"")</f>
        <v/>
      </c>
      <c r="CE5" s="27">
        <f>IF(MONTH(CE6)&lt;&gt;MONTH(CD6),TEXT(CE6,"mmm yy"),"")</f>
        <v/>
      </c>
      <c r="CF5" s="27">
        <f>IF(MONTH(CF6)&lt;&gt;MONTH(CE6),TEXT(CF6,"mmm yy"),"")</f>
        <v/>
      </c>
      <c r="CG5" s="27">
        <f>IF(MONTH(CG6)&lt;&gt;MONTH(CF6),TEXT(CG6,"mmm yy"),"")</f>
        <v/>
      </c>
      <c r="CH5" s="27">
        <f>IF(MONTH(CH6)&lt;&gt;MONTH(CG6),TEXT(CH6,"mmm yy"),"")</f>
        <v/>
      </c>
      <c r="CI5" s="27">
        <f>IF(MONTH(CI6)&lt;&gt;MONTH(CH6),TEXT(CI6,"mmm yy"),"")</f>
        <v/>
      </c>
      <c r="CJ5" s="27">
        <f>IF(MONTH(CJ6)&lt;&gt;MONTH(CI6),TEXT(CJ6,"mmm yy"),"")</f>
        <v/>
      </c>
      <c r="CK5" s="27">
        <f>IF(MONTH(CK6)&lt;&gt;MONTH(CJ6),TEXT(CK6,"mmm yy"),"")</f>
        <v/>
      </c>
      <c r="CL5" s="27">
        <f>IF(MONTH(CL6)&lt;&gt;MONTH(CK6),TEXT(CL6,"mmm yy"),"")</f>
        <v/>
      </c>
      <c r="CM5" s="27">
        <f>IF(MONTH(CM6)&lt;&gt;MONTH(CL6),TEXT(CM6,"mmm yy"),"")</f>
        <v/>
      </c>
      <c r="CN5" s="27">
        <f>IF(MONTH(CN6)&lt;&gt;MONTH(CM6),TEXT(CN6,"mmm yy"),"")</f>
        <v/>
      </c>
      <c r="CO5" s="27">
        <f>IF(MONTH(CO6)&lt;&gt;MONTH(CN6),TEXT(CO6,"mmm yy"),"")</f>
        <v/>
      </c>
      <c r="CP5" s="27">
        <f>IF(MONTH(CP6)&lt;&gt;MONTH(CO6),TEXT(CP6,"mmm yy"),"")</f>
        <v/>
      </c>
      <c r="CQ5" s="27">
        <f>IF(MONTH(CQ6)&lt;&gt;MONTH(CP6),TEXT(CQ6,"mmm yy"),"")</f>
        <v/>
      </c>
      <c r="CR5" s="27">
        <f>IF(MONTH(CR6)&lt;&gt;MONTH(CQ6),TEXT(CR6,"mmm yy"),"")</f>
        <v/>
      </c>
      <c r="CS5" s="27">
        <f>IF(MONTH(CS6)&lt;&gt;MONTH(CR6),TEXT(CS6,"mmm yy"),"")</f>
        <v/>
      </c>
      <c r="CT5" s="27">
        <f>IF(MONTH(CT6)&lt;&gt;MONTH(CS6),TEXT(CT6,"mmm yy"),"")</f>
        <v/>
      </c>
      <c r="CU5" s="27">
        <f>IF(MONTH(CU6)&lt;&gt;MONTH(CT6),TEXT(CU6,"mmm yy"),"")</f>
        <v/>
      </c>
      <c r="CV5" s="27">
        <f>IF(MONTH(CV6)&lt;&gt;MONTH(CU6),TEXT(CV6,"mmm yy"),"")</f>
        <v/>
      </c>
      <c r="CW5" s="27">
        <f>IF(MONTH(CW6)&lt;&gt;MONTH(CV6),TEXT(CW6,"mmm yy"),"")</f>
        <v/>
      </c>
      <c r="CX5" s="27">
        <f>IF(MONTH(CX6)&lt;&gt;MONTH(CW6),TEXT(CX6,"mmm yy"),"")</f>
        <v/>
      </c>
      <c r="CY5" s="27">
        <f>IF(MONTH(CY6)&lt;&gt;MONTH(CX6),TEXT(CY6,"mmm yy"),"")</f>
        <v/>
      </c>
      <c r="CZ5" s="27">
        <f>IF(MONTH(CZ6)&lt;&gt;MONTH(CY6),TEXT(CZ6,"mmm yy"),"")</f>
        <v/>
      </c>
      <c r="DA5" s="27">
        <f>IF(MONTH(DA6)&lt;&gt;MONTH(CZ6),TEXT(DA6,"mmm yy"),"")</f>
        <v/>
      </c>
      <c r="DB5" s="27">
        <f>IF(MONTH(DB6)&lt;&gt;MONTH(DA6),TEXT(DB6,"mmm yy"),"")</f>
        <v/>
      </c>
      <c r="DC5" s="27">
        <f>IF(MONTH(DC6)&lt;&gt;MONTH(DB6),TEXT(DC6,"mmm yy"),"")</f>
        <v/>
      </c>
      <c r="DD5" s="27">
        <f>IF(MONTH(DD6)&lt;&gt;MONTH(DC6),TEXT(DD6,"mmm yy"),"")</f>
        <v/>
      </c>
      <c r="DE5" s="27">
        <f>IF(MONTH(DE6)&lt;&gt;MONTH(DD6),TEXT(DE6,"mmm yy"),"")</f>
        <v/>
      </c>
      <c r="DF5" s="27">
        <f>IF(MONTH(DF6)&lt;&gt;MONTH(DE6),TEXT(DF6,"mmm yy"),"")</f>
        <v/>
      </c>
      <c r="DG5" s="27">
        <f>IF(MONTH(DG6)&lt;&gt;MONTH(DF6),TEXT(DG6,"mmm yy"),"")</f>
        <v/>
      </c>
      <c r="DH5" s="27">
        <f>IF(MONTH(DH6)&lt;&gt;MONTH(DG6),TEXT(DH6,"mmm yy"),"")</f>
        <v/>
      </c>
    </row>
    <row r="6" ht="30" customHeight="1" s="14">
      <c r="A6" s="26" t="n"/>
      <c r="B6" s="26" t="n"/>
      <c r="C6" s="26" t="n"/>
      <c r="D6" s="26" t="n"/>
      <c r="E6" s="26" t="n"/>
      <c r="F6" s="26" t="n"/>
      <c r="G6" s="26" t="n"/>
      <c r="H6" s="26" t="inlineStr">
        <is>
          <t>Week of →</t>
        </is>
      </c>
      <c r="I6" s="37">
        <f>$C$3</f>
        <v/>
      </c>
      <c r="J6" s="37">
        <f>I6+7</f>
        <v/>
      </c>
      <c r="K6" s="37">
        <f>J6+7</f>
        <v/>
      </c>
      <c r="L6" s="37">
        <f>K6+7</f>
        <v/>
      </c>
      <c r="M6" s="37">
        <f>L6+7</f>
        <v/>
      </c>
      <c r="N6" s="37">
        <f>M6+7</f>
        <v/>
      </c>
      <c r="O6" s="37">
        <f>N6+7</f>
        <v/>
      </c>
      <c r="P6" s="37">
        <f>O6+7</f>
        <v/>
      </c>
      <c r="Q6" s="37">
        <f>P6+7</f>
        <v/>
      </c>
      <c r="R6" s="37">
        <f>Q6+7</f>
        <v/>
      </c>
      <c r="S6" s="37">
        <f>R6+7</f>
        <v/>
      </c>
      <c r="T6" s="37">
        <f>S6+7</f>
        <v/>
      </c>
      <c r="U6" s="37">
        <f>T6+7</f>
        <v/>
      </c>
      <c r="V6" s="37">
        <f>U6+7</f>
        <v/>
      </c>
      <c r="W6" s="37">
        <f>V6+7</f>
        <v/>
      </c>
      <c r="X6" s="37">
        <f>W6+7</f>
        <v/>
      </c>
      <c r="Y6" s="37">
        <f>X6+7</f>
        <v/>
      </c>
      <c r="Z6" s="37">
        <f>Y6+7</f>
        <v/>
      </c>
      <c r="AA6" s="37">
        <f>Z6+7</f>
        <v/>
      </c>
      <c r="AB6" s="37">
        <f>AA6+7</f>
        <v/>
      </c>
      <c r="AC6" s="37">
        <f>AB6+7</f>
        <v/>
      </c>
      <c r="AD6" s="37">
        <f>AC6+7</f>
        <v/>
      </c>
      <c r="AE6" s="37">
        <f>AD6+7</f>
        <v/>
      </c>
      <c r="AF6" s="37">
        <f>AE6+7</f>
        <v/>
      </c>
      <c r="AG6" s="37">
        <f>AF6+7</f>
        <v/>
      </c>
      <c r="AH6" s="37">
        <f>AG6+7</f>
        <v/>
      </c>
      <c r="AI6" s="37">
        <f>AH6+7</f>
        <v/>
      </c>
      <c r="AJ6" s="37">
        <f>AI6+7</f>
        <v/>
      </c>
      <c r="AK6" s="37">
        <f>AJ6+7</f>
        <v/>
      </c>
      <c r="AL6" s="37">
        <f>AK6+7</f>
        <v/>
      </c>
      <c r="AM6" s="37">
        <f>AL6+7</f>
        <v/>
      </c>
      <c r="AN6" s="37">
        <f>AM6+7</f>
        <v/>
      </c>
      <c r="AO6" s="37">
        <f>AN6+7</f>
        <v/>
      </c>
      <c r="AP6" s="37">
        <f>AO6+7</f>
        <v/>
      </c>
      <c r="AQ6" s="37">
        <f>AP6+7</f>
        <v/>
      </c>
      <c r="AR6" s="37">
        <f>AQ6+7</f>
        <v/>
      </c>
      <c r="AS6" s="37">
        <f>AR6+7</f>
        <v/>
      </c>
      <c r="AT6" s="37">
        <f>AS6+7</f>
        <v/>
      </c>
      <c r="AU6" s="37">
        <f>AT6+7</f>
        <v/>
      </c>
      <c r="AV6" s="37">
        <f>AU6+7</f>
        <v/>
      </c>
      <c r="AW6" s="37">
        <f>AV6+7</f>
        <v/>
      </c>
      <c r="AX6" s="37">
        <f>AW6+7</f>
        <v/>
      </c>
      <c r="AY6" s="37">
        <f>AX6+7</f>
        <v/>
      </c>
      <c r="AZ6" s="37">
        <f>AY6+7</f>
        <v/>
      </c>
      <c r="BA6" s="37">
        <f>AZ6+7</f>
        <v/>
      </c>
      <c r="BB6" s="37">
        <f>BA6+7</f>
        <v/>
      </c>
      <c r="BC6" s="37">
        <f>BB6+7</f>
        <v/>
      </c>
      <c r="BD6" s="37">
        <f>BC6+7</f>
        <v/>
      </c>
      <c r="BE6" s="37">
        <f>BD6+7</f>
        <v/>
      </c>
      <c r="BF6" s="37">
        <f>BE6+7</f>
        <v/>
      </c>
      <c r="BG6" s="37">
        <f>BF6+7</f>
        <v/>
      </c>
      <c r="BH6" s="37">
        <f>BG6+7</f>
        <v/>
      </c>
      <c r="BI6" s="37">
        <f>BH6+7</f>
        <v/>
      </c>
      <c r="BJ6" s="37">
        <f>BI6+7</f>
        <v/>
      </c>
      <c r="BK6" s="37">
        <f>BJ6+7</f>
        <v/>
      </c>
      <c r="BL6" s="37">
        <f>BK6+7</f>
        <v/>
      </c>
      <c r="BM6" s="37">
        <f>BL6+7</f>
        <v/>
      </c>
      <c r="BN6" s="37">
        <f>BM6+7</f>
        <v/>
      </c>
      <c r="BO6" s="37">
        <f>BN6+7</f>
        <v/>
      </c>
      <c r="BP6" s="37">
        <f>BO6+7</f>
        <v/>
      </c>
      <c r="BQ6" s="37">
        <f>BP6+7</f>
        <v/>
      </c>
      <c r="BR6" s="37">
        <f>BQ6+7</f>
        <v/>
      </c>
      <c r="BS6" s="37">
        <f>BR6+7</f>
        <v/>
      </c>
      <c r="BT6" s="37">
        <f>BS6+7</f>
        <v/>
      </c>
      <c r="BU6" s="37">
        <f>BT6+7</f>
        <v/>
      </c>
      <c r="BV6" s="37">
        <f>BU6+7</f>
        <v/>
      </c>
      <c r="BW6" s="37">
        <f>BV6+7</f>
        <v/>
      </c>
      <c r="BX6" s="37">
        <f>BW6+7</f>
        <v/>
      </c>
      <c r="BY6" s="37">
        <f>BX6+7</f>
        <v/>
      </c>
      <c r="BZ6" s="37">
        <f>BY6+7</f>
        <v/>
      </c>
      <c r="CA6" s="37">
        <f>BZ6+7</f>
        <v/>
      </c>
      <c r="CB6" s="37">
        <f>CA6+7</f>
        <v/>
      </c>
      <c r="CC6" s="37">
        <f>CB6+7</f>
        <v/>
      </c>
      <c r="CD6" s="37">
        <f>CC6+7</f>
        <v/>
      </c>
      <c r="CE6" s="37">
        <f>CD6+7</f>
        <v/>
      </c>
      <c r="CF6" s="37">
        <f>CE6+7</f>
        <v/>
      </c>
      <c r="CG6" s="37">
        <f>CF6+7</f>
        <v/>
      </c>
      <c r="CH6" s="37">
        <f>CG6+7</f>
        <v/>
      </c>
      <c r="CI6" s="37">
        <f>CH6+7</f>
        <v/>
      </c>
      <c r="CJ6" s="37">
        <f>CI6+7</f>
        <v/>
      </c>
      <c r="CK6" s="37">
        <f>CJ6+7</f>
        <v/>
      </c>
      <c r="CL6" s="37">
        <f>CK6+7</f>
        <v/>
      </c>
      <c r="CM6" s="37">
        <f>CL6+7</f>
        <v/>
      </c>
      <c r="CN6" s="37">
        <f>CM6+7</f>
        <v/>
      </c>
      <c r="CO6" s="37">
        <f>CN6+7</f>
        <v/>
      </c>
      <c r="CP6" s="37">
        <f>CO6+7</f>
        <v/>
      </c>
      <c r="CQ6" s="37">
        <f>CP6+7</f>
        <v/>
      </c>
      <c r="CR6" s="37">
        <f>CQ6+7</f>
        <v/>
      </c>
      <c r="CS6" s="37">
        <f>CR6+7</f>
        <v/>
      </c>
      <c r="CT6" s="37">
        <f>CS6+7</f>
        <v/>
      </c>
      <c r="CU6" s="37">
        <f>CT6+7</f>
        <v/>
      </c>
      <c r="CV6" s="37">
        <f>CU6+7</f>
        <v/>
      </c>
      <c r="CW6" s="37">
        <f>CV6+7</f>
        <v/>
      </c>
      <c r="CX6" s="37">
        <f>CW6+7</f>
        <v/>
      </c>
      <c r="CY6" s="37">
        <f>CX6+7</f>
        <v/>
      </c>
      <c r="CZ6" s="37">
        <f>CY6+7</f>
        <v/>
      </c>
      <c r="DA6" s="37">
        <f>CZ6+7</f>
        <v/>
      </c>
      <c r="DB6" s="37">
        <f>DA6+7</f>
        <v/>
      </c>
      <c r="DC6" s="37">
        <f>DB6+7</f>
        <v/>
      </c>
      <c r="DD6" s="37">
        <f>DC6+7</f>
        <v/>
      </c>
      <c r="DE6" s="37">
        <f>DD6+7</f>
        <v/>
      </c>
      <c r="DF6" s="37">
        <f>DE6+7</f>
        <v/>
      </c>
      <c r="DG6" s="37">
        <f>DF6+7</f>
        <v/>
      </c>
      <c r="DH6" s="37">
        <f>DG6+7</f>
        <v/>
      </c>
    </row>
    <row r="7" ht="20" customHeight="1" s="14">
      <c r="A7" s="26" t="inlineStr">
        <is>
          <t>Phase</t>
        </is>
      </c>
      <c r="B7" s="26" t="inlineStr">
        <is>
          <t>Feature</t>
        </is>
      </c>
      <c r="C7" s="26" t="inlineStr">
        <is>
          <t>Guest</t>
        </is>
      </c>
      <c r="D7" s="26" t="inlineStr">
        <is>
          <t>Logged-in</t>
        </is>
      </c>
      <c r="E7" s="26" t="inlineStr">
        <is>
          <t>Admin</t>
        </is>
      </c>
      <c r="F7" s="26" t="inlineStr">
        <is>
          <t>Start</t>
        </is>
      </c>
      <c r="G7" s="26" t="inlineStr">
        <is>
          <t>End</t>
        </is>
      </c>
      <c r="H7" s="26" t="inlineStr">
        <is>
          <t>Weeks</t>
        </is>
      </c>
      <c r="I7" s="29" t="inlineStr">
        <is>
          <t>W1</t>
        </is>
      </c>
      <c r="J7" s="29" t="inlineStr">
        <is>
          <t>W2</t>
        </is>
      </c>
      <c r="K7" s="29" t="inlineStr">
        <is>
          <t>W3</t>
        </is>
      </c>
      <c r="L7" s="29" t="inlineStr">
        <is>
          <t>W4</t>
        </is>
      </c>
      <c r="M7" s="29" t="inlineStr">
        <is>
          <t>W5</t>
        </is>
      </c>
      <c r="N7" s="29" t="inlineStr">
        <is>
          <t>W6</t>
        </is>
      </c>
      <c r="O7" s="29" t="inlineStr">
        <is>
          <t>W7</t>
        </is>
      </c>
      <c r="P7" s="29" t="inlineStr">
        <is>
          <t>W8</t>
        </is>
      </c>
      <c r="Q7" s="29" t="inlineStr">
        <is>
          <t>W9</t>
        </is>
      </c>
      <c r="R7" s="29" t="inlineStr">
        <is>
          <t>W10</t>
        </is>
      </c>
      <c r="S7" s="29" t="inlineStr">
        <is>
          <t>W11</t>
        </is>
      </c>
      <c r="T7" s="29" t="inlineStr">
        <is>
          <t>W12</t>
        </is>
      </c>
      <c r="U7" s="29" t="inlineStr">
        <is>
          <t>W13</t>
        </is>
      </c>
      <c r="V7" s="29" t="inlineStr">
        <is>
          <t>W14</t>
        </is>
      </c>
      <c r="W7" s="29" t="inlineStr">
        <is>
          <t>W15</t>
        </is>
      </c>
      <c r="X7" s="29" t="inlineStr">
        <is>
          <t>W16</t>
        </is>
      </c>
      <c r="Y7" s="29" t="inlineStr">
        <is>
          <t>W17</t>
        </is>
      </c>
      <c r="Z7" s="29" t="inlineStr">
        <is>
          <t>W18</t>
        </is>
      </c>
      <c r="AA7" s="29" t="inlineStr">
        <is>
          <t>W19</t>
        </is>
      </c>
      <c r="AB7" s="29" t="inlineStr">
        <is>
          <t>W20</t>
        </is>
      </c>
      <c r="AC7" s="29" t="inlineStr">
        <is>
          <t>W21</t>
        </is>
      </c>
      <c r="AD7" s="29" t="inlineStr">
        <is>
          <t>W22</t>
        </is>
      </c>
      <c r="AE7" s="29" t="inlineStr">
        <is>
          <t>W23</t>
        </is>
      </c>
      <c r="AF7" s="29" t="inlineStr">
        <is>
          <t>W24</t>
        </is>
      </c>
      <c r="AG7" s="29" t="inlineStr">
        <is>
          <t>W25</t>
        </is>
      </c>
      <c r="AH7" s="29" t="inlineStr">
        <is>
          <t>W26</t>
        </is>
      </c>
      <c r="AI7" s="29" t="inlineStr">
        <is>
          <t>W27</t>
        </is>
      </c>
      <c r="AJ7" s="29" t="inlineStr">
        <is>
          <t>W28</t>
        </is>
      </c>
      <c r="AK7" s="29" t="inlineStr">
        <is>
          <t>W29</t>
        </is>
      </c>
      <c r="AL7" s="29" t="inlineStr">
        <is>
          <t>W30</t>
        </is>
      </c>
      <c r="AM7" s="29" t="inlineStr">
        <is>
          <t>W31</t>
        </is>
      </c>
      <c r="AN7" s="29" t="inlineStr">
        <is>
          <t>W32</t>
        </is>
      </c>
      <c r="AO7" s="29" t="inlineStr">
        <is>
          <t>W33</t>
        </is>
      </c>
      <c r="AP7" s="29" t="inlineStr">
        <is>
          <t>W34</t>
        </is>
      </c>
      <c r="AQ7" s="29" t="inlineStr">
        <is>
          <t>W35</t>
        </is>
      </c>
      <c r="AR7" s="29" t="inlineStr">
        <is>
          <t>W36</t>
        </is>
      </c>
      <c r="AS7" s="29" t="inlineStr">
        <is>
          <t>W37</t>
        </is>
      </c>
      <c r="AT7" s="29" t="inlineStr">
        <is>
          <t>W38</t>
        </is>
      </c>
      <c r="AU7" s="29" t="inlineStr">
        <is>
          <t>W39</t>
        </is>
      </c>
      <c r="AV7" s="29" t="inlineStr">
        <is>
          <t>W40</t>
        </is>
      </c>
      <c r="AW7" s="29" t="inlineStr">
        <is>
          <t>W41</t>
        </is>
      </c>
      <c r="AX7" s="29" t="inlineStr">
        <is>
          <t>W42</t>
        </is>
      </c>
      <c r="AY7" s="29" t="inlineStr">
        <is>
          <t>W43</t>
        </is>
      </c>
      <c r="AZ7" s="29" t="inlineStr">
        <is>
          <t>W44</t>
        </is>
      </c>
      <c r="BA7" s="29" t="inlineStr">
        <is>
          <t>W45</t>
        </is>
      </c>
      <c r="BB7" s="29" t="inlineStr">
        <is>
          <t>W46</t>
        </is>
      </c>
      <c r="BC7" s="29" t="inlineStr">
        <is>
          <t>W47</t>
        </is>
      </c>
      <c r="BD7" s="29" t="inlineStr">
        <is>
          <t>W48</t>
        </is>
      </c>
      <c r="BE7" s="29" t="inlineStr">
        <is>
          <t>W49</t>
        </is>
      </c>
      <c r="BF7" s="29" t="inlineStr">
        <is>
          <t>W50</t>
        </is>
      </c>
      <c r="BG7" s="29" t="inlineStr">
        <is>
          <t>W51</t>
        </is>
      </c>
      <c r="BH7" s="29" t="inlineStr">
        <is>
          <t>W52</t>
        </is>
      </c>
      <c r="BI7" s="29" t="inlineStr">
        <is>
          <t>W53</t>
        </is>
      </c>
      <c r="BJ7" s="29" t="inlineStr">
        <is>
          <t>W54</t>
        </is>
      </c>
      <c r="BK7" s="29" t="inlineStr">
        <is>
          <t>W55</t>
        </is>
      </c>
      <c r="BL7" s="29" t="inlineStr">
        <is>
          <t>W56</t>
        </is>
      </c>
      <c r="BM7" s="29" t="inlineStr">
        <is>
          <t>W57</t>
        </is>
      </c>
      <c r="BN7" s="29" t="inlineStr">
        <is>
          <t>W58</t>
        </is>
      </c>
      <c r="BO7" s="29" t="inlineStr">
        <is>
          <t>W59</t>
        </is>
      </c>
      <c r="BP7" s="29" t="inlineStr">
        <is>
          <t>W60</t>
        </is>
      </c>
      <c r="BQ7" s="29" t="inlineStr">
        <is>
          <t>W61</t>
        </is>
      </c>
      <c r="BR7" s="29" t="inlineStr">
        <is>
          <t>W62</t>
        </is>
      </c>
      <c r="BS7" s="29" t="inlineStr">
        <is>
          <t>W63</t>
        </is>
      </c>
      <c r="BT7" s="29" t="inlineStr">
        <is>
          <t>W64</t>
        </is>
      </c>
      <c r="BU7" s="29" t="inlineStr">
        <is>
          <t>W65</t>
        </is>
      </c>
      <c r="BV7" s="29" t="inlineStr">
        <is>
          <t>W66</t>
        </is>
      </c>
      <c r="BW7" s="29" t="inlineStr">
        <is>
          <t>W67</t>
        </is>
      </c>
      <c r="BX7" s="29" t="inlineStr">
        <is>
          <t>W68</t>
        </is>
      </c>
      <c r="BY7" s="29" t="inlineStr">
        <is>
          <t>W69</t>
        </is>
      </c>
      <c r="BZ7" s="29" t="inlineStr">
        <is>
          <t>W70</t>
        </is>
      </c>
      <c r="CA7" s="29" t="inlineStr">
        <is>
          <t>W71</t>
        </is>
      </c>
      <c r="CB7" s="29" t="inlineStr">
        <is>
          <t>W72</t>
        </is>
      </c>
      <c r="CC7" s="29" t="inlineStr">
        <is>
          <t>W73</t>
        </is>
      </c>
      <c r="CD7" s="29" t="inlineStr">
        <is>
          <t>W74</t>
        </is>
      </c>
      <c r="CE7" s="29" t="inlineStr">
        <is>
          <t>W75</t>
        </is>
      </c>
      <c r="CF7" s="29" t="inlineStr">
        <is>
          <t>W76</t>
        </is>
      </c>
      <c r="CG7" s="29" t="inlineStr">
        <is>
          <t>W77</t>
        </is>
      </c>
      <c r="CH7" s="29" t="inlineStr">
        <is>
          <t>W78</t>
        </is>
      </c>
      <c r="CI7" s="29" t="inlineStr">
        <is>
          <t>W79</t>
        </is>
      </c>
      <c r="CJ7" s="29" t="inlineStr">
        <is>
          <t>W80</t>
        </is>
      </c>
      <c r="CK7" s="29" t="inlineStr">
        <is>
          <t>W81</t>
        </is>
      </c>
      <c r="CL7" s="29" t="inlineStr">
        <is>
          <t>W82</t>
        </is>
      </c>
      <c r="CM7" s="29" t="inlineStr">
        <is>
          <t>W83</t>
        </is>
      </c>
      <c r="CN7" s="29" t="inlineStr">
        <is>
          <t>W84</t>
        </is>
      </c>
      <c r="CO7" s="29" t="inlineStr">
        <is>
          <t>W85</t>
        </is>
      </c>
      <c r="CP7" s="29" t="inlineStr">
        <is>
          <t>W86</t>
        </is>
      </c>
      <c r="CQ7" s="29" t="inlineStr">
        <is>
          <t>W87</t>
        </is>
      </c>
      <c r="CR7" s="29" t="inlineStr">
        <is>
          <t>W88</t>
        </is>
      </c>
      <c r="CS7" s="29" t="inlineStr">
        <is>
          <t>W89</t>
        </is>
      </c>
      <c r="CT7" s="29" t="inlineStr">
        <is>
          <t>W90</t>
        </is>
      </c>
      <c r="CU7" s="29" t="inlineStr">
        <is>
          <t>W91</t>
        </is>
      </c>
      <c r="CV7" s="29" t="inlineStr">
        <is>
          <t>W92</t>
        </is>
      </c>
      <c r="CW7" s="29" t="inlineStr">
        <is>
          <t>W93</t>
        </is>
      </c>
      <c r="CX7" s="29" t="inlineStr">
        <is>
          <t>W94</t>
        </is>
      </c>
      <c r="CY7" s="29" t="inlineStr">
        <is>
          <t>W95</t>
        </is>
      </c>
      <c r="CZ7" s="29" t="inlineStr">
        <is>
          <t>W96</t>
        </is>
      </c>
      <c r="DA7" s="29" t="inlineStr">
        <is>
          <t>W97</t>
        </is>
      </c>
      <c r="DB7" s="29" t="inlineStr">
        <is>
          <t>W98</t>
        </is>
      </c>
      <c r="DC7" s="29" t="inlineStr">
        <is>
          <t>W99</t>
        </is>
      </c>
      <c r="DD7" s="29" t="inlineStr">
        <is>
          <t>W100</t>
        </is>
      </c>
      <c r="DE7" s="29" t="inlineStr">
        <is>
          <t>W101</t>
        </is>
      </c>
      <c r="DF7" s="29" t="inlineStr">
        <is>
          <t>W102</t>
        </is>
      </c>
      <c r="DG7" s="29" t="inlineStr">
        <is>
          <t>W103</t>
        </is>
      </c>
      <c r="DH7" s="29" t="inlineStr">
        <is>
          <t>W104</t>
        </is>
      </c>
    </row>
    <row r="8">
      <c r="A8" s="18" t="inlineStr">
        <is>
          <t>Phase 0 — Foundation</t>
        </is>
      </c>
      <c r="B8" s="18" t="n"/>
      <c r="C8" s="18" t="n"/>
      <c r="D8" s="18" t="n"/>
      <c r="E8" s="18" t="n"/>
      <c r="F8" s="38">
        <f>MIN(F9:F14)</f>
        <v/>
      </c>
      <c r="G8" s="38">
        <f>MAX(G9:G14)</f>
        <v/>
      </c>
      <c r="H8" s="31">
        <f>ROUNDUP((G8-F8+1)/7,0)</f>
        <v/>
      </c>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c r="BA8" s="18" t="n"/>
      <c r="BB8" s="18" t="n"/>
      <c r="BC8" s="18" t="n"/>
      <c r="BD8" s="18" t="n"/>
      <c r="BE8" s="18" t="n"/>
      <c r="BF8" s="18" t="n"/>
      <c r="BG8" s="18" t="n"/>
      <c r="BH8" s="18" t="n"/>
      <c r="BI8" s="18" t="n"/>
      <c r="BJ8" s="18" t="n"/>
      <c r="BK8" s="18" t="n"/>
      <c r="BL8" s="18" t="n"/>
      <c r="BM8" s="18" t="n"/>
      <c r="BN8" s="18" t="n"/>
      <c r="BO8" s="18" t="n"/>
      <c r="BP8" s="18" t="n"/>
      <c r="BQ8" s="18" t="n"/>
      <c r="BR8" s="18" t="n"/>
      <c r="BS8" s="18" t="n"/>
      <c r="BT8" s="18" t="n"/>
      <c r="BU8" s="18" t="n"/>
      <c r="BV8" s="18" t="n"/>
      <c r="BW8" s="18" t="n"/>
      <c r="BX8" s="18" t="n"/>
      <c r="BY8" s="18" t="n"/>
      <c r="BZ8" s="18" t="n"/>
      <c r="CA8" s="18" t="n"/>
      <c r="CB8" s="18" t="n"/>
      <c r="CC8" s="18" t="n"/>
      <c r="CD8" s="18" t="n"/>
      <c r="CE8" s="18" t="n"/>
      <c r="CF8" s="18" t="n"/>
      <c r="CG8" s="18" t="n"/>
      <c r="CH8" s="18" t="n"/>
      <c r="CI8" s="18" t="n"/>
      <c r="CJ8" s="18" t="n"/>
      <c r="CK8" s="18" t="n"/>
      <c r="CL8" s="18" t="n"/>
      <c r="CM8" s="18" t="n"/>
      <c r="CN8" s="18" t="n"/>
      <c r="CO8" s="18" t="n"/>
      <c r="CP8" s="18" t="n"/>
      <c r="CQ8" s="18" t="n"/>
      <c r="CR8" s="18" t="n"/>
      <c r="CS8" s="18" t="n"/>
      <c r="CT8" s="18" t="n"/>
      <c r="CU8" s="18" t="n"/>
      <c r="CV8" s="18" t="n"/>
      <c r="CW8" s="18" t="n"/>
      <c r="CX8" s="18" t="n"/>
      <c r="CY8" s="18" t="n"/>
      <c r="CZ8" s="18" t="n"/>
      <c r="DA8" s="18" t="n"/>
      <c r="DB8" s="18" t="n"/>
      <c r="DC8" s="18" t="n"/>
      <c r="DD8" s="18" t="n"/>
      <c r="DE8" s="18" t="n"/>
      <c r="DF8" s="18" t="n"/>
      <c r="DG8" s="18" t="n"/>
      <c r="DH8" s="18" t="n"/>
    </row>
    <row r="9">
      <c r="A9" s="20">
        <f>'Feature Matrix'!B6</f>
        <v/>
      </c>
      <c r="B9" s="20">
        <f>'Feature Matrix'!C6</f>
        <v/>
      </c>
      <c r="C9" s="19">
        <f>IF('Feature Matrix'!D6="Yes","Y","N")</f>
        <v/>
      </c>
      <c r="D9" s="19">
        <f>IF('Feature Matrix'!E6="Yes","Y","N")</f>
        <v/>
      </c>
      <c r="E9" s="19">
        <f>IF('Feature Matrix'!F6="Yes","Y","N")</f>
        <v/>
      </c>
      <c r="F9" s="39" t="n">
        <v>46300</v>
      </c>
      <c r="G9" s="39" t="n">
        <v>46311</v>
      </c>
      <c r="H9" s="19">
        <f>ROUNDUP((G9-F9+1)/7,0)</f>
        <v/>
      </c>
    </row>
    <row r="10">
      <c r="A10" s="20">
        <f>'Feature Matrix'!B7</f>
        <v/>
      </c>
      <c r="B10" s="20">
        <f>'Feature Matrix'!C7</f>
        <v/>
      </c>
      <c r="C10" s="19">
        <f>IF('Feature Matrix'!D7="Yes","Y","N")</f>
        <v/>
      </c>
      <c r="D10" s="19">
        <f>IF('Feature Matrix'!E7="Yes","Y","N")</f>
        <v/>
      </c>
      <c r="E10" s="19">
        <f>IF('Feature Matrix'!F7="Yes","Y","N")</f>
        <v/>
      </c>
      <c r="F10" s="39" t="n">
        <v>46300</v>
      </c>
      <c r="G10" s="39" t="n">
        <v>46311</v>
      </c>
      <c r="H10" s="19">
        <f>ROUNDUP((G10-F10+1)/7,0)</f>
        <v/>
      </c>
    </row>
    <row r="11">
      <c r="A11" s="20">
        <f>'Feature Matrix'!B8</f>
        <v/>
      </c>
      <c r="B11" s="20">
        <f>'Feature Matrix'!C8</f>
        <v/>
      </c>
      <c r="C11" s="19">
        <f>IF('Feature Matrix'!D8="Yes","Y","N")</f>
        <v/>
      </c>
      <c r="D11" s="19">
        <f>IF('Feature Matrix'!E8="Yes","Y","N")</f>
        <v/>
      </c>
      <c r="E11" s="19">
        <f>IF('Feature Matrix'!F8="Yes","Y","N")</f>
        <v/>
      </c>
      <c r="F11" s="39" t="n">
        <v>46300</v>
      </c>
      <c r="G11" s="39" t="n">
        <v>46311</v>
      </c>
      <c r="H11" s="19">
        <f>ROUNDUP((G11-F11+1)/7,0)</f>
        <v/>
      </c>
    </row>
    <row r="12">
      <c r="A12" s="20">
        <f>'Feature Matrix'!B9</f>
        <v/>
      </c>
      <c r="B12" s="20">
        <f>'Feature Matrix'!C9</f>
        <v/>
      </c>
      <c r="C12" s="19">
        <f>IF('Feature Matrix'!D9="Yes","Y","N")</f>
        <v/>
      </c>
      <c r="D12" s="19">
        <f>IF('Feature Matrix'!E9="Yes","Y","N")</f>
        <v/>
      </c>
      <c r="E12" s="19">
        <f>IF('Feature Matrix'!F9="Yes","Y","N")</f>
        <v/>
      </c>
      <c r="F12" s="39" t="n">
        <v>46300</v>
      </c>
      <c r="G12" s="39" t="n">
        <v>46311</v>
      </c>
      <c r="H12" s="19">
        <f>ROUNDUP((G12-F12+1)/7,0)</f>
        <v/>
      </c>
    </row>
    <row r="13">
      <c r="A13" s="20">
        <f>'Feature Matrix'!B10</f>
        <v/>
      </c>
      <c r="B13" s="20">
        <f>'Feature Matrix'!C10</f>
        <v/>
      </c>
      <c r="C13" s="19">
        <f>IF('Feature Matrix'!D10="Yes","Y","N")</f>
        <v/>
      </c>
      <c r="D13" s="19">
        <f>IF('Feature Matrix'!E10="Yes","Y","N")</f>
        <v/>
      </c>
      <c r="E13" s="19">
        <f>IF('Feature Matrix'!F10="Yes","Y","N")</f>
        <v/>
      </c>
      <c r="F13" s="39" t="n">
        <v>46300</v>
      </c>
      <c r="G13" s="39" t="n">
        <v>46311</v>
      </c>
      <c r="H13" s="19">
        <f>ROUNDUP((G13-F13+1)/7,0)</f>
        <v/>
      </c>
    </row>
    <row r="14">
      <c r="A14" s="20">
        <f>'Feature Matrix'!B11</f>
        <v/>
      </c>
      <c r="B14" s="20">
        <f>'Feature Matrix'!C11</f>
        <v/>
      </c>
      <c r="C14" s="19">
        <f>IF('Feature Matrix'!D11="Yes","Y","N")</f>
        <v/>
      </c>
      <c r="D14" s="19">
        <f>IF('Feature Matrix'!E11="Yes","Y","N")</f>
        <v/>
      </c>
      <c r="E14" s="19">
        <f>IF('Feature Matrix'!F11="Yes","Y","N")</f>
        <v/>
      </c>
      <c r="F14" s="39" t="n">
        <v>46300</v>
      </c>
      <c r="G14" s="39" t="n">
        <v>46311</v>
      </c>
      <c r="H14" s="19">
        <f>ROUNDUP((G14-F14+1)/7,0)</f>
        <v/>
      </c>
    </row>
    <row r="15">
      <c r="A15" s="18" t="inlineStr">
        <is>
          <t>Phase 1 — v1.0</t>
        </is>
      </c>
      <c r="B15" s="18" t="n"/>
      <c r="C15" s="18" t="n"/>
      <c r="D15" s="18" t="n"/>
      <c r="E15" s="18" t="n"/>
      <c r="F15" s="38">
        <f>MIN(F16:F34)</f>
        <v/>
      </c>
      <c r="G15" s="38">
        <f>MAX(G16:G34)</f>
        <v/>
      </c>
      <c r="H15" s="31">
        <f>ROUNDUP((G15-F15+1)/7,0)</f>
        <v/>
      </c>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c r="AH15" s="18" t="n"/>
      <c r="AI15" s="18" t="n"/>
      <c r="AJ15" s="18" t="n"/>
      <c r="AK15" s="18" t="n"/>
      <c r="AL15" s="18" t="n"/>
      <c r="AM15" s="18" t="n"/>
      <c r="AN15" s="18" t="n"/>
      <c r="AO15" s="18" t="n"/>
      <c r="AP15" s="18" t="n"/>
      <c r="AQ15" s="18" t="n"/>
      <c r="AR15" s="18" t="n"/>
      <c r="AS15" s="18" t="n"/>
      <c r="AT15" s="18" t="n"/>
      <c r="AU15" s="18" t="n"/>
      <c r="AV15" s="18" t="n"/>
      <c r="AW15" s="18" t="n"/>
      <c r="AX15" s="18" t="n"/>
      <c r="AY15" s="18" t="n"/>
      <c r="AZ15" s="18" t="n"/>
      <c r="BA15" s="18" t="n"/>
      <c r="BB15" s="18" t="n"/>
      <c r="BC15" s="18" t="n"/>
      <c r="BD15" s="18" t="n"/>
      <c r="BE15" s="18" t="n"/>
      <c r="BF15" s="18" t="n"/>
      <c r="BG15" s="18" t="n"/>
      <c r="BH15" s="18" t="n"/>
      <c r="BI15" s="18" t="n"/>
      <c r="BJ15" s="18" t="n"/>
      <c r="BK15" s="18" t="n"/>
      <c r="BL15" s="18" t="n"/>
      <c r="BM15" s="18" t="n"/>
      <c r="BN15" s="18" t="n"/>
      <c r="BO15" s="18" t="n"/>
      <c r="BP15" s="18" t="n"/>
      <c r="BQ15" s="18" t="n"/>
      <c r="BR15" s="18" t="n"/>
      <c r="BS15" s="18" t="n"/>
      <c r="BT15" s="18" t="n"/>
      <c r="BU15" s="18" t="n"/>
      <c r="BV15" s="18" t="n"/>
      <c r="BW15" s="18" t="n"/>
      <c r="BX15" s="18" t="n"/>
      <c r="BY15" s="18" t="n"/>
      <c r="BZ15" s="18" t="n"/>
      <c r="CA15" s="18" t="n"/>
      <c r="CB15" s="18" t="n"/>
      <c r="CC15" s="18" t="n"/>
      <c r="CD15" s="18" t="n"/>
      <c r="CE15" s="18" t="n"/>
      <c r="CF15" s="18" t="n"/>
      <c r="CG15" s="18" t="n"/>
      <c r="CH15" s="18" t="n"/>
      <c r="CI15" s="18" t="n"/>
      <c r="CJ15" s="18" t="n"/>
      <c r="CK15" s="18" t="n"/>
      <c r="CL15" s="18" t="n"/>
      <c r="CM15" s="18" t="n"/>
      <c r="CN15" s="18" t="n"/>
      <c r="CO15" s="18" t="n"/>
      <c r="CP15" s="18" t="n"/>
      <c r="CQ15" s="18" t="n"/>
      <c r="CR15" s="18" t="n"/>
      <c r="CS15" s="18" t="n"/>
      <c r="CT15" s="18" t="n"/>
      <c r="CU15" s="18" t="n"/>
      <c r="CV15" s="18" t="n"/>
      <c r="CW15" s="18" t="n"/>
      <c r="CX15" s="18" t="n"/>
      <c r="CY15" s="18" t="n"/>
      <c r="CZ15" s="18" t="n"/>
      <c r="DA15" s="18" t="n"/>
      <c r="DB15" s="18" t="n"/>
      <c r="DC15" s="18" t="n"/>
      <c r="DD15" s="18" t="n"/>
      <c r="DE15" s="18" t="n"/>
      <c r="DF15" s="18" t="n"/>
      <c r="DG15" s="18" t="n"/>
      <c r="DH15" s="18" t="n"/>
    </row>
    <row r="16">
      <c r="A16" s="20">
        <f>'Feature Matrix'!B13</f>
        <v/>
      </c>
      <c r="B16" s="20">
        <f>'Feature Matrix'!C13</f>
        <v/>
      </c>
      <c r="C16" s="19">
        <f>IF('Feature Matrix'!D13="Yes","Y","N")</f>
        <v/>
      </c>
      <c r="D16" s="19">
        <f>IF('Feature Matrix'!E13="Yes","Y","N")</f>
        <v/>
      </c>
      <c r="E16" s="19">
        <f>IF('Feature Matrix'!F13="Yes","Y","N")</f>
        <v/>
      </c>
      <c r="F16" s="39" t="n">
        <v>46313</v>
      </c>
      <c r="G16" s="39" t="n">
        <v>46340</v>
      </c>
      <c r="H16" s="19">
        <f>ROUNDUP((G16-F16+1)/7,0)</f>
        <v/>
      </c>
    </row>
    <row r="17">
      <c r="A17" s="20">
        <f>'Feature Matrix'!B14</f>
        <v/>
      </c>
      <c r="B17" s="20">
        <f>'Feature Matrix'!C14</f>
        <v/>
      </c>
      <c r="C17" s="19">
        <f>IF('Feature Matrix'!D14="Yes","Y","N")</f>
        <v/>
      </c>
      <c r="D17" s="19">
        <f>IF('Feature Matrix'!E14="Yes","Y","N")</f>
        <v/>
      </c>
      <c r="E17" s="19">
        <f>IF('Feature Matrix'!F14="Yes","Y","N")</f>
        <v/>
      </c>
      <c r="F17" s="39" t="n">
        <v>46313</v>
      </c>
      <c r="G17" s="39" t="n">
        <v>46333</v>
      </c>
      <c r="H17" s="19">
        <f>ROUNDUP((G17-F17+1)/7,0)</f>
        <v/>
      </c>
    </row>
    <row r="18">
      <c r="A18" s="20">
        <f>'Feature Matrix'!B15</f>
        <v/>
      </c>
      <c r="B18" s="20">
        <f>'Feature Matrix'!C15</f>
        <v/>
      </c>
      <c r="C18" s="19">
        <f>IF('Feature Matrix'!D15="Yes","Y","N")</f>
        <v/>
      </c>
      <c r="D18" s="19">
        <f>IF('Feature Matrix'!E15="Yes","Y","N")</f>
        <v/>
      </c>
      <c r="E18" s="19">
        <f>IF('Feature Matrix'!F15="Yes","Y","N")</f>
        <v/>
      </c>
      <c r="F18" s="39" t="n">
        <v>46320</v>
      </c>
      <c r="G18" s="39" t="n">
        <v>46340</v>
      </c>
      <c r="H18" s="19">
        <f>ROUNDUP((G18-F18+1)/7,0)</f>
        <v/>
      </c>
    </row>
    <row r="19">
      <c r="A19" s="20">
        <f>'Feature Matrix'!B16</f>
        <v/>
      </c>
      <c r="B19" s="20">
        <f>'Feature Matrix'!C16</f>
        <v/>
      </c>
      <c r="C19" s="19">
        <f>IF('Feature Matrix'!D16="Yes","Y","N")</f>
        <v/>
      </c>
      <c r="D19" s="19">
        <f>IF('Feature Matrix'!E16="Yes","Y","N")</f>
        <v/>
      </c>
      <c r="E19" s="19">
        <f>IF('Feature Matrix'!F16="Yes","Y","N")</f>
        <v/>
      </c>
      <c r="F19" s="39" t="n">
        <v>46313</v>
      </c>
      <c r="G19" s="39" t="n">
        <v>46340</v>
      </c>
      <c r="H19" s="19">
        <f>ROUNDUP((G19-F19+1)/7,0)</f>
        <v/>
      </c>
    </row>
    <row r="20">
      <c r="A20" s="20">
        <f>'Feature Matrix'!B17</f>
        <v/>
      </c>
      <c r="B20" s="20">
        <f>'Feature Matrix'!C17</f>
        <v/>
      </c>
      <c r="C20" s="19">
        <f>IF('Feature Matrix'!D17="Yes","Y","N")</f>
        <v/>
      </c>
      <c r="D20" s="19">
        <f>IF('Feature Matrix'!E17="Yes","Y","N")</f>
        <v/>
      </c>
      <c r="E20" s="19">
        <f>IF('Feature Matrix'!F17="Yes","Y","N")</f>
        <v/>
      </c>
      <c r="F20" s="39" t="n">
        <v>46313</v>
      </c>
      <c r="G20" s="39" t="n">
        <v>46347</v>
      </c>
      <c r="H20" s="19">
        <f>ROUNDUP((G20-F20+1)/7,0)</f>
        <v/>
      </c>
    </row>
    <row r="21">
      <c r="A21" s="20">
        <f>'Feature Matrix'!B18</f>
        <v/>
      </c>
      <c r="B21" s="20">
        <f>'Feature Matrix'!C18</f>
        <v/>
      </c>
      <c r="C21" s="19">
        <f>IF('Feature Matrix'!D18="Yes","Y","N")</f>
        <v/>
      </c>
      <c r="D21" s="19">
        <f>IF('Feature Matrix'!E18="Yes","Y","N")</f>
        <v/>
      </c>
      <c r="E21" s="19">
        <f>IF('Feature Matrix'!F18="Yes","Y","N")</f>
        <v/>
      </c>
      <c r="F21" s="39" t="n">
        <v>46334</v>
      </c>
      <c r="G21" s="39" t="n">
        <v>46361</v>
      </c>
      <c r="H21" s="19">
        <f>ROUNDUP((G21-F21+1)/7,0)</f>
        <v/>
      </c>
    </row>
    <row r="22">
      <c r="A22" s="20">
        <f>'Feature Matrix'!B19</f>
        <v/>
      </c>
      <c r="B22" s="20">
        <f>'Feature Matrix'!C19</f>
        <v/>
      </c>
      <c r="C22" s="19">
        <f>IF('Feature Matrix'!D19="Yes","Y","N")</f>
        <v/>
      </c>
      <c r="D22" s="19">
        <f>IF('Feature Matrix'!E19="Yes","Y","N")</f>
        <v/>
      </c>
      <c r="E22" s="19">
        <f>IF('Feature Matrix'!F19="Yes","Y","N")</f>
        <v/>
      </c>
      <c r="F22" s="39" t="n">
        <v>46341</v>
      </c>
      <c r="G22" s="39" t="n">
        <v>46368</v>
      </c>
      <c r="H22" s="19">
        <f>ROUNDUP((G22-F22+1)/7,0)</f>
        <v/>
      </c>
    </row>
    <row r="23">
      <c r="A23" s="20">
        <f>'Feature Matrix'!B20</f>
        <v/>
      </c>
      <c r="B23" s="20">
        <f>'Feature Matrix'!C20</f>
        <v/>
      </c>
      <c r="C23" s="19">
        <f>IF('Feature Matrix'!D20="Yes","Y","N")</f>
        <v/>
      </c>
      <c r="D23" s="19">
        <f>IF('Feature Matrix'!E20="Yes","Y","N")</f>
        <v/>
      </c>
      <c r="E23" s="19">
        <f>IF('Feature Matrix'!F20="Yes","Y","N")</f>
        <v/>
      </c>
      <c r="F23" s="39" t="n">
        <v>46334</v>
      </c>
      <c r="G23" s="39" t="n">
        <v>46361</v>
      </c>
      <c r="H23" s="19">
        <f>ROUNDUP((G23-F23+1)/7,0)</f>
        <v/>
      </c>
    </row>
    <row r="24">
      <c r="A24" s="20">
        <f>'Feature Matrix'!B21</f>
        <v/>
      </c>
      <c r="B24" s="20">
        <f>'Feature Matrix'!C21</f>
        <v/>
      </c>
      <c r="C24" s="19">
        <f>IF('Feature Matrix'!D21="Yes","Y","N")</f>
        <v/>
      </c>
      <c r="D24" s="19">
        <f>IF('Feature Matrix'!E21="Yes","Y","N")</f>
        <v/>
      </c>
      <c r="E24" s="19">
        <f>IF('Feature Matrix'!F21="Yes","Y","N")</f>
        <v/>
      </c>
      <c r="F24" s="39" t="n">
        <v>46341</v>
      </c>
      <c r="G24" s="39" t="n">
        <v>46368</v>
      </c>
      <c r="H24" s="19">
        <f>ROUNDUP((G24-F24+1)/7,0)</f>
        <v/>
      </c>
    </row>
    <row r="25">
      <c r="A25" s="20">
        <f>'Feature Matrix'!B22</f>
        <v/>
      </c>
      <c r="B25" s="20">
        <f>'Feature Matrix'!C22</f>
        <v/>
      </c>
      <c r="C25" s="19">
        <f>IF('Feature Matrix'!D22="Yes","Y","N")</f>
        <v/>
      </c>
      <c r="D25" s="19">
        <f>IF('Feature Matrix'!E22="Yes","Y","N")</f>
        <v/>
      </c>
      <c r="E25" s="19">
        <f>IF('Feature Matrix'!F22="Yes","Y","N")</f>
        <v/>
      </c>
      <c r="F25" s="39" t="n">
        <v>46341</v>
      </c>
      <c r="G25" s="39" t="n">
        <v>46375</v>
      </c>
      <c r="H25" s="19">
        <f>ROUNDUP((G25-F25+1)/7,0)</f>
        <v/>
      </c>
    </row>
    <row r="26">
      <c r="A26" s="20">
        <f>'Feature Matrix'!B23</f>
        <v/>
      </c>
      <c r="B26" s="20">
        <f>'Feature Matrix'!C23</f>
        <v/>
      </c>
      <c r="C26" s="19">
        <f>IF('Feature Matrix'!D23="Yes","Y","N")</f>
        <v/>
      </c>
      <c r="D26" s="19">
        <f>IF('Feature Matrix'!E23="Yes","Y","N")</f>
        <v/>
      </c>
      <c r="E26" s="19">
        <f>IF('Feature Matrix'!F23="Yes","Y","N")</f>
        <v/>
      </c>
      <c r="F26" s="39" t="n">
        <v>46334</v>
      </c>
      <c r="G26" s="39" t="n">
        <v>46361</v>
      </c>
      <c r="H26" s="19">
        <f>ROUNDUP((G26-F26+1)/7,0)</f>
        <v/>
      </c>
    </row>
    <row r="27">
      <c r="A27" s="20">
        <f>'Feature Matrix'!B24</f>
        <v/>
      </c>
      <c r="B27" s="20">
        <f>'Feature Matrix'!C24</f>
        <v/>
      </c>
      <c r="C27" s="19">
        <f>IF('Feature Matrix'!D24="Yes","Y","N")</f>
        <v/>
      </c>
      <c r="D27" s="19">
        <f>IF('Feature Matrix'!E24="Yes","Y","N")</f>
        <v/>
      </c>
      <c r="E27" s="19">
        <f>IF('Feature Matrix'!F24="Yes","Y","N")</f>
        <v/>
      </c>
      <c r="F27" s="39" t="n">
        <v>46348</v>
      </c>
      <c r="G27" s="39" t="n">
        <v>46375</v>
      </c>
      <c r="H27" s="19">
        <f>ROUNDUP((G27-F27+1)/7,0)</f>
        <v/>
      </c>
    </row>
    <row r="28">
      <c r="A28" s="20">
        <f>'Feature Matrix'!B25</f>
        <v/>
      </c>
      <c r="B28" s="20">
        <f>'Feature Matrix'!C25</f>
        <v/>
      </c>
      <c r="C28" s="19">
        <f>IF('Feature Matrix'!D25="Yes","Y","N")</f>
        <v/>
      </c>
      <c r="D28" s="19">
        <f>IF('Feature Matrix'!E25="Yes","Y","N")</f>
        <v/>
      </c>
      <c r="E28" s="19">
        <f>IF('Feature Matrix'!F25="Yes","Y","N")</f>
        <v/>
      </c>
      <c r="F28" s="39" t="n">
        <v>46348</v>
      </c>
      <c r="G28" s="39" t="n">
        <v>46375</v>
      </c>
      <c r="H28" s="19">
        <f>ROUNDUP((G28-F28+1)/7,0)</f>
        <v/>
      </c>
    </row>
    <row r="29">
      <c r="A29" s="20">
        <f>'Feature Matrix'!B26</f>
        <v/>
      </c>
      <c r="B29" s="20">
        <f>'Feature Matrix'!C26</f>
        <v/>
      </c>
      <c r="C29" s="19">
        <f>IF('Feature Matrix'!D26="Yes","Y","N")</f>
        <v/>
      </c>
      <c r="D29" s="19">
        <f>IF('Feature Matrix'!E26="Yes","Y","N")</f>
        <v/>
      </c>
      <c r="E29" s="19">
        <f>IF('Feature Matrix'!F26="Yes","Y","N")</f>
        <v/>
      </c>
      <c r="F29" s="39" t="n">
        <v>46355</v>
      </c>
      <c r="G29" s="39" t="n">
        <v>46375</v>
      </c>
      <c r="H29" s="19">
        <f>ROUNDUP((G29-F29+1)/7,0)</f>
        <v/>
      </c>
    </row>
    <row r="30">
      <c r="A30" s="20">
        <f>'Feature Matrix'!B27</f>
        <v/>
      </c>
      <c r="B30" s="20">
        <f>'Feature Matrix'!C27</f>
        <v/>
      </c>
      <c r="C30" s="19">
        <f>IF('Feature Matrix'!D27="Yes","Y","N")</f>
        <v/>
      </c>
      <c r="D30" s="19">
        <f>IF('Feature Matrix'!E27="Yes","Y","N")</f>
        <v/>
      </c>
      <c r="E30" s="19">
        <f>IF('Feature Matrix'!F27="Yes","Y","N")</f>
        <v/>
      </c>
      <c r="F30" s="39" t="n">
        <v>46348</v>
      </c>
      <c r="G30" s="39" t="n">
        <v>46382</v>
      </c>
      <c r="H30" s="19">
        <f>ROUNDUP((G30-F30+1)/7,0)</f>
        <v/>
      </c>
    </row>
    <row r="31">
      <c r="A31" s="20">
        <f>'Feature Matrix'!B28</f>
        <v/>
      </c>
      <c r="B31" s="20">
        <f>'Feature Matrix'!C28</f>
        <v/>
      </c>
      <c r="C31" s="19">
        <f>IF('Feature Matrix'!D28="Yes","Y","N")</f>
        <v/>
      </c>
      <c r="D31" s="19">
        <f>IF('Feature Matrix'!E28="Yes","Y","N")</f>
        <v/>
      </c>
      <c r="E31" s="19">
        <f>IF('Feature Matrix'!F28="Yes","Y","N")</f>
        <v/>
      </c>
      <c r="F31" s="39" t="n">
        <v>46334</v>
      </c>
      <c r="G31" s="39" t="n">
        <v>46361</v>
      </c>
      <c r="H31" s="19">
        <f>ROUNDUP((G31-F31+1)/7,0)</f>
        <v/>
      </c>
    </row>
    <row r="32">
      <c r="A32" s="20">
        <f>'Feature Matrix'!B29</f>
        <v/>
      </c>
      <c r="B32" s="20">
        <f>'Feature Matrix'!C29</f>
        <v/>
      </c>
      <c r="C32" s="19">
        <f>IF('Feature Matrix'!D29="Yes","Y","N")</f>
        <v/>
      </c>
      <c r="D32" s="19">
        <f>IF('Feature Matrix'!E29="Yes","Y","N")</f>
        <v/>
      </c>
      <c r="E32" s="19">
        <f>IF('Feature Matrix'!F29="Yes","Y","N")</f>
        <v/>
      </c>
      <c r="F32" s="39" t="n">
        <v>46362</v>
      </c>
      <c r="G32" s="39" t="n">
        <v>46389</v>
      </c>
      <c r="H32" s="19">
        <f>ROUNDUP((G32-F32+1)/7,0)</f>
        <v/>
      </c>
    </row>
    <row r="33">
      <c r="A33" s="20">
        <f>'Feature Matrix'!B30</f>
        <v/>
      </c>
      <c r="B33" s="20">
        <f>'Feature Matrix'!C30</f>
        <v/>
      </c>
      <c r="C33" s="19">
        <f>IF('Feature Matrix'!D30="Yes","Y","N")</f>
        <v/>
      </c>
      <c r="D33" s="19">
        <f>IF('Feature Matrix'!E30="Yes","Y","N")</f>
        <v/>
      </c>
      <c r="E33" s="19">
        <f>IF('Feature Matrix'!F30="Yes","Y","N")</f>
        <v/>
      </c>
      <c r="F33" s="39" t="n">
        <v>46369</v>
      </c>
      <c r="G33" s="39" t="n">
        <v>46395</v>
      </c>
      <c r="H33" s="19">
        <f>ROUNDUP((G33-F33+1)/7,0)</f>
        <v/>
      </c>
    </row>
    <row r="34">
      <c r="A34" s="20">
        <f>'Feature Matrix'!B31</f>
        <v/>
      </c>
      <c r="B34" s="20">
        <f>'Feature Matrix'!C31</f>
        <v/>
      </c>
      <c r="C34" s="19">
        <f>IF('Feature Matrix'!D31="Yes","Y","N")</f>
        <v/>
      </c>
      <c r="D34" s="19">
        <f>IF('Feature Matrix'!E31="Yes","Y","N")</f>
        <v/>
      </c>
      <c r="E34" s="19">
        <f>IF('Feature Matrix'!F31="Yes","Y","N")</f>
        <v/>
      </c>
      <c r="F34" s="39" t="n">
        <v>46376</v>
      </c>
      <c r="G34" s="39" t="n">
        <v>46402</v>
      </c>
      <c r="H34" s="19">
        <f>ROUNDUP((G34-F34+1)/7,0)</f>
        <v/>
      </c>
    </row>
    <row r="35">
      <c r="A35" s="18" t="inlineStr">
        <is>
          <t>Phase 2 — v1.5</t>
        </is>
      </c>
      <c r="B35" s="18" t="n"/>
      <c r="C35" s="18" t="n"/>
      <c r="D35" s="18" t="n"/>
      <c r="E35" s="18" t="n"/>
      <c r="F35" s="38">
        <f>MIN(F36:F44)</f>
        <v/>
      </c>
      <c r="G35" s="38">
        <f>MAX(G36:G44)</f>
        <v/>
      </c>
      <c r="H35" s="31">
        <f>ROUNDUP((G35-F35+1)/7,0)</f>
        <v/>
      </c>
      <c r="I35" s="18" t="n"/>
      <c r="J35" s="18" t="n"/>
      <c r="K35" s="18" t="n"/>
      <c r="L35" s="18" t="n"/>
      <c r="M35" s="18" t="n"/>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c r="AH35" s="18" t="n"/>
      <c r="AI35" s="18" t="n"/>
      <c r="AJ35" s="18" t="n"/>
      <c r="AK35" s="18" t="n"/>
      <c r="AL35" s="18" t="n"/>
      <c r="AM35" s="18" t="n"/>
      <c r="AN35" s="18" t="n"/>
      <c r="AO35" s="18" t="n"/>
      <c r="AP35" s="18" t="n"/>
      <c r="AQ35" s="18" t="n"/>
      <c r="AR35" s="18" t="n"/>
      <c r="AS35" s="18" t="n"/>
      <c r="AT35" s="18" t="n"/>
      <c r="AU35" s="18" t="n"/>
      <c r="AV35" s="18" t="n"/>
      <c r="AW35" s="18" t="n"/>
      <c r="AX35" s="18" t="n"/>
      <c r="AY35" s="18" t="n"/>
      <c r="AZ35" s="18" t="n"/>
      <c r="BA35" s="18" t="n"/>
      <c r="BB35" s="18" t="n"/>
      <c r="BC35" s="18" t="n"/>
      <c r="BD35" s="18" t="n"/>
      <c r="BE35" s="18" t="n"/>
      <c r="BF35" s="18" t="n"/>
      <c r="BG35" s="18" t="n"/>
      <c r="BH35" s="18" t="n"/>
      <c r="BI35" s="18" t="n"/>
      <c r="BJ35" s="18" t="n"/>
      <c r="BK35" s="18" t="n"/>
      <c r="BL35" s="18" t="n"/>
      <c r="BM35" s="18" t="n"/>
      <c r="BN35" s="18" t="n"/>
      <c r="BO35" s="18" t="n"/>
      <c r="BP35" s="18" t="n"/>
      <c r="BQ35" s="18" t="n"/>
      <c r="BR35" s="18" t="n"/>
      <c r="BS35" s="18" t="n"/>
      <c r="BT35" s="18" t="n"/>
      <c r="BU35" s="18" t="n"/>
      <c r="BV35" s="18" t="n"/>
      <c r="BW35" s="18" t="n"/>
      <c r="BX35" s="18" t="n"/>
      <c r="BY35" s="18" t="n"/>
      <c r="BZ35" s="18" t="n"/>
      <c r="CA35" s="18" t="n"/>
      <c r="CB35" s="18" t="n"/>
      <c r="CC35" s="18" t="n"/>
      <c r="CD35" s="18" t="n"/>
      <c r="CE35" s="18" t="n"/>
      <c r="CF35" s="18" t="n"/>
      <c r="CG35" s="18" t="n"/>
      <c r="CH35" s="18" t="n"/>
      <c r="CI35" s="18" t="n"/>
      <c r="CJ35" s="18" t="n"/>
      <c r="CK35" s="18" t="n"/>
      <c r="CL35" s="18" t="n"/>
      <c r="CM35" s="18" t="n"/>
      <c r="CN35" s="18" t="n"/>
      <c r="CO35" s="18" t="n"/>
      <c r="CP35" s="18" t="n"/>
      <c r="CQ35" s="18" t="n"/>
      <c r="CR35" s="18" t="n"/>
      <c r="CS35" s="18" t="n"/>
      <c r="CT35" s="18" t="n"/>
      <c r="CU35" s="18" t="n"/>
      <c r="CV35" s="18" t="n"/>
      <c r="CW35" s="18" t="n"/>
      <c r="CX35" s="18" t="n"/>
      <c r="CY35" s="18" t="n"/>
      <c r="CZ35" s="18" t="n"/>
      <c r="DA35" s="18" t="n"/>
      <c r="DB35" s="18" t="n"/>
      <c r="DC35" s="18" t="n"/>
      <c r="DD35" s="18" t="n"/>
      <c r="DE35" s="18" t="n"/>
      <c r="DF35" s="18" t="n"/>
      <c r="DG35" s="18" t="n"/>
      <c r="DH35" s="18" t="n"/>
    </row>
    <row r="36">
      <c r="A36" s="20">
        <f>'Feature Matrix'!B33</f>
        <v/>
      </c>
      <c r="B36" s="20">
        <f>'Feature Matrix'!C33</f>
        <v/>
      </c>
      <c r="C36" s="19">
        <f>IF('Feature Matrix'!D33="Yes","Y","N")</f>
        <v/>
      </c>
      <c r="D36" s="19">
        <f>IF('Feature Matrix'!E33="Yes","Y","N")</f>
        <v/>
      </c>
      <c r="E36" s="19">
        <f>IF('Feature Matrix'!F33="Yes","Y","N")</f>
        <v/>
      </c>
      <c r="F36" s="39" t="n">
        <v>46348</v>
      </c>
      <c r="G36" s="39" t="n">
        <v>46368</v>
      </c>
      <c r="H36" s="19">
        <f>ROUNDUP((G36-F36+1)/7,0)</f>
        <v/>
      </c>
    </row>
    <row r="37">
      <c r="A37" s="20">
        <f>'Feature Matrix'!B34</f>
        <v/>
      </c>
      <c r="B37" s="20">
        <f>'Feature Matrix'!C34</f>
        <v/>
      </c>
      <c r="C37" s="19">
        <f>IF('Feature Matrix'!D34="Yes","Y","N")</f>
        <v/>
      </c>
      <c r="D37" s="19">
        <f>IF('Feature Matrix'!E34="Yes","Y","N")</f>
        <v/>
      </c>
      <c r="E37" s="19">
        <f>IF('Feature Matrix'!F34="Yes","Y","N")</f>
        <v/>
      </c>
      <c r="F37" s="39" t="n">
        <v>46355</v>
      </c>
      <c r="G37" s="39" t="n">
        <v>46375</v>
      </c>
      <c r="H37" s="19">
        <f>ROUNDUP((G37-F37+1)/7,0)</f>
        <v/>
      </c>
    </row>
    <row r="38">
      <c r="A38" s="20">
        <f>'Feature Matrix'!B35</f>
        <v/>
      </c>
      <c r="B38" s="20">
        <f>'Feature Matrix'!C35</f>
        <v/>
      </c>
      <c r="C38" s="19">
        <f>IF('Feature Matrix'!D35="Yes","Y","N")</f>
        <v/>
      </c>
      <c r="D38" s="19">
        <f>IF('Feature Matrix'!E35="Yes","Y","N")</f>
        <v/>
      </c>
      <c r="E38" s="19">
        <f>IF('Feature Matrix'!F35="Yes","Y","N")</f>
        <v/>
      </c>
      <c r="F38" s="39" t="n">
        <v>46362</v>
      </c>
      <c r="G38" s="39" t="n">
        <v>46382</v>
      </c>
      <c r="H38" s="19">
        <f>ROUNDUP((G38-F38+1)/7,0)</f>
        <v/>
      </c>
    </row>
    <row r="39">
      <c r="A39" s="20">
        <f>'Feature Matrix'!B36</f>
        <v/>
      </c>
      <c r="B39" s="20">
        <f>'Feature Matrix'!C36</f>
        <v/>
      </c>
      <c r="C39" s="19">
        <f>IF('Feature Matrix'!D36="Yes","Y","N")</f>
        <v/>
      </c>
      <c r="D39" s="19">
        <f>IF('Feature Matrix'!E36="Yes","Y","N")</f>
        <v/>
      </c>
      <c r="E39" s="19">
        <f>IF('Feature Matrix'!F36="Yes","Y","N")</f>
        <v/>
      </c>
      <c r="F39" s="39" t="n">
        <v>46362</v>
      </c>
      <c r="G39" s="39" t="n">
        <v>46375</v>
      </c>
      <c r="H39" s="19">
        <f>ROUNDUP((G39-F39+1)/7,0)</f>
        <v/>
      </c>
    </row>
    <row r="40">
      <c r="A40" s="20">
        <f>'Feature Matrix'!B37</f>
        <v/>
      </c>
      <c r="B40" s="20">
        <f>'Feature Matrix'!C37</f>
        <v/>
      </c>
      <c r="C40" s="19">
        <f>IF('Feature Matrix'!D37="Yes","Y","N")</f>
        <v/>
      </c>
      <c r="D40" s="19">
        <f>IF('Feature Matrix'!E37="Yes","Y","N")</f>
        <v/>
      </c>
      <c r="E40" s="19">
        <f>IF('Feature Matrix'!F37="Yes","Y","N")</f>
        <v/>
      </c>
      <c r="F40" s="39" t="n">
        <v>46369</v>
      </c>
      <c r="G40" s="39" t="n">
        <v>46382</v>
      </c>
      <c r="H40" s="19">
        <f>ROUNDUP((G40-F40+1)/7,0)</f>
        <v/>
      </c>
    </row>
    <row r="41">
      <c r="A41" s="20">
        <f>'Feature Matrix'!B38</f>
        <v/>
      </c>
      <c r="B41" s="20">
        <f>'Feature Matrix'!C38</f>
        <v/>
      </c>
      <c r="C41" s="19">
        <f>IF('Feature Matrix'!D38="Yes","Y","N")</f>
        <v/>
      </c>
      <c r="D41" s="19">
        <f>IF('Feature Matrix'!E38="Yes","Y","N")</f>
        <v/>
      </c>
      <c r="E41" s="19">
        <f>IF('Feature Matrix'!F38="Yes","Y","N")</f>
        <v/>
      </c>
      <c r="F41" s="39" t="n">
        <v>46355</v>
      </c>
      <c r="G41" s="39" t="n">
        <v>46368</v>
      </c>
      <c r="H41" s="19">
        <f>ROUNDUP((G41-F41+1)/7,0)</f>
        <v/>
      </c>
    </row>
    <row r="42">
      <c r="A42" s="20">
        <f>'Feature Matrix'!B39</f>
        <v/>
      </c>
      <c r="B42" s="20">
        <f>'Feature Matrix'!C39</f>
        <v/>
      </c>
      <c r="C42" s="19">
        <f>IF('Feature Matrix'!D39="Yes","Y","N")</f>
        <v/>
      </c>
      <c r="D42" s="19">
        <f>IF('Feature Matrix'!E39="Yes","Y","N")</f>
        <v/>
      </c>
      <c r="E42" s="19">
        <f>IF('Feature Matrix'!F39="Yes","Y","N")</f>
        <v/>
      </c>
      <c r="F42" s="39" t="n">
        <v>46369</v>
      </c>
      <c r="G42" s="39" t="n">
        <v>46389</v>
      </c>
      <c r="H42" s="19">
        <f>ROUNDUP((G42-F42+1)/7,0)</f>
        <v/>
      </c>
    </row>
    <row r="43">
      <c r="A43" s="20">
        <f>'Feature Matrix'!B40</f>
        <v/>
      </c>
      <c r="B43" s="20">
        <f>'Feature Matrix'!C40</f>
        <v/>
      </c>
      <c r="C43" s="19">
        <f>IF('Feature Matrix'!D40="Yes","Y","N")</f>
        <v/>
      </c>
      <c r="D43" s="19">
        <f>IF('Feature Matrix'!E40="Yes","Y","N")</f>
        <v/>
      </c>
      <c r="E43" s="19">
        <f>IF('Feature Matrix'!F40="Yes","Y","N")</f>
        <v/>
      </c>
      <c r="F43" s="39" t="n">
        <v>46376</v>
      </c>
      <c r="G43" s="39" t="n">
        <v>46395</v>
      </c>
      <c r="H43" s="19">
        <f>ROUNDUP((G43-F43+1)/7,0)</f>
        <v/>
      </c>
    </row>
    <row r="44">
      <c r="A44" s="20">
        <f>'Feature Matrix'!B41</f>
        <v/>
      </c>
      <c r="B44" s="20">
        <f>'Feature Matrix'!C41</f>
        <v/>
      </c>
      <c r="C44" s="19">
        <f>IF('Feature Matrix'!D41="Yes","Y","N")</f>
        <v/>
      </c>
      <c r="D44" s="19">
        <f>IF('Feature Matrix'!E41="Yes","Y","N")</f>
        <v/>
      </c>
      <c r="E44" s="19">
        <f>IF('Feature Matrix'!F41="Yes","Y","N")</f>
        <v/>
      </c>
      <c r="F44" s="39" t="n">
        <v>46383</v>
      </c>
      <c r="G44" s="39" t="n">
        <v>46402</v>
      </c>
      <c r="H44" s="19">
        <f>ROUNDUP((G44-F44+1)/7,0)</f>
        <v/>
      </c>
    </row>
    <row r="45">
      <c r="A45" s="18" t="inlineStr">
        <is>
          <t>Phase 3 — v2.0</t>
        </is>
      </c>
      <c r="B45" s="18" t="n"/>
      <c r="C45" s="18" t="n"/>
      <c r="D45" s="18" t="n"/>
      <c r="E45" s="18" t="n"/>
      <c r="F45" s="38">
        <f>MIN(F46:F49)</f>
        <v/>
      </c>
      <c r="G45" s="38">
        <f>MAX(G46:G49)</f>
        <v/>
      </c>
      <c r="H45" s="31">
        <f>ROUNDUP((G45-F45+1)/7,0)</f>
        <v/>
      </c>
      <c r="I45" s="18" t="n"/>
      <c r="J45" s="18" t="n"/>
      <c r="K45" s="18" t="n"/>
      <c r="L45" s="18" t="n"/>
      <c r="M45" s="18" t="n"/>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row>
    <row r="46">
      <c r="A46" s="20">
        <f>'Feature Matrix'!B43</f>
        <v/>
      </c>
      <c r="B46" s="20">
        <f>'Feature Matrix'!C43</f>
        <v/>
      </c>
      <c r="C46" s="19">
        <f>IF('Feature Matrix'!D43="Yes","Y","N")</f>
        <v/>
      </c>
      <c r="D46" s="19">
        <f>IF('Feature Matrix'!E43="Yes","Y","N")</f>
        <v/>
      </c>
      <c r="E46" s="19">
        <f>IF('Feature Matrix'!F43="Yes","Y","N")</f>
        <v/>
      </c>
      <c r="F46" s="39" t="n">
        <v>46369</v>
      </c>
      <c r="G46" s="39" t="n">
        <v>46389</v>
      </c>
      <c r="H46" s="19">
        <f>ROUNDUP((G46-F46+1)/7,0)</f>
        <v/>
      </c>
    </row>
    <row r="47">
      <c r="A47" s="20">
        <f>'Feature Matrix'!B44</f>
        <v/>
      </c>
      <c r="B47" s="20">
        <f>'Feature Matrix'!C44</f>
        <v/>
      </c>
      <c r="C47" s="19">
        <f>IF('Feature Matrix'!D44="Yes","Y","N")</f>
        <v/>
      </c>
      <c r="D47" s="19">
        <f>IF('Feature Matrix'!E44="Yes","Y","N")</f>
        <v/>
      </c>
      <c r="E47" s="19">
        <f>IF('Feature Matrix'!F44="Yes","Y","N")</f>
        <v/>
      </c>
      <c r="F47" s="39" t="n">
        <v>46376</v>
      </c>
      <c r="G47" s="39" t="n">
        <v>46395</v>
      </c>
      <c r="H47" s="19">
        <f>ROUNDUP((G47-F47+1)/7,0)</f>
        <v/>
      </c>
    </row>
    <row r="48">
      <c r="A48" s="20">
        <f>'Feature Matrix'!B45</f>
        <v/>
      </c>
      <c r="B48" s="20">
        <f>'Feature Matrix'!C45</f>
        <v/>
      </c>
      <c r="C48" s="19">
        <f>IF('Feature Matrix'!D45="Yes","Y","N")</f>
        <v/>
      </c>
      <c r="D48" s="19">
        <f>IF('Feature Matrix'!E45="Yes","Y","N")</f>
        <v/>
      </c>
      <c r="E48" s="19">
        <f>IF('Feature Matrix'!F45="Yes","Y","N")</f>
        <v/>
      </c>
      <c r="F48" s="39" t="n">
        <v>46390</v>
      </c>
      <c r="G48" s="39" t="n">
        <v>46402</v>
      </c>
      <c r="H48" s="19">
        <f>ROUNDUP((G48-F48+1)/7,0)</f>
        <v/>
      </c>
    </row>
    <row r="49">
      <c r="A49" s="20">
        <f>'Feature Matrix'!B46</f>
        <v/>
      </c>
      <c r="B49" s="20">
        <f>'Feature Matrix'!C46</f>
        <v/>
      </c>
      <c r="C49" s="19">
        <f>IF('Feature Matrix'!D46="Yes","Y","N")</f>
        <v/>
      </c>
      <c r="D49" s="19">
        <f>IF('Feature Matrix'!E46="Yes","Y","N")</f>
        <v/>
      </c>
      <c r="E49" s="19">
        <f>IF('Feature Matrix'!F46="Yes","Y","N")</f>
        <v/>
      </c>
      <c r="F49" s="39" t="n">
        <v>46376</v>
      </c>
      <c r="G49" s="39" t="n">
        <v>46402</v>
      </c>
      <c r="H49" s="19">
        <f>ROUNDUP((G49-F49+1)/7,0)</f>
        <v/>
      </c>
    </row>
  </sheetData>
  <mergeCells count="2">
    <mergeCell ref="A2:H2"/>
    <mergeCell ref="A1:H1"/>
  </mergeCells>
  <conditionalFormatting sqref="I9:DH14">
    <cfRule type="expression" priority="1" dxfId="2" stopIfTrue="0">
      <formula>AND(I$6&lt;=$G9,I$6+6&gt;=$F9)</formula>
    </cfRule>
  </conditionalFormatting>
  <conditionalFormatting sqref="I8:DH8">
    <cfRule type="expression" priority="2" dxfId="3" stopIfTrue="0">
      <formula>AND(I$6&lt;=$G8,I$6+6&gt;=$F8)</formula>
    </cfRule>
  </conditionalFormatting>
  <conditionalFormatting sqref="I16:DH34">
    <cfRule type="expression" priority="3" dxfId="4" stopIfTrue="0">
      <formula>AND(I$6&lt;=$G16,I$6+6&gt;=$F16)</formula>
    </cfRule>
  </conditionalFormatting>
  <conditionalFormatting sqref="I15:DH15">
    <cfRule type="expression" priority="4" dxfId="5" stopIfTrue="0">
      <formula>AND(I$6&lt;=$G15,I$6+6&gt;=$F15)</formula>
    </cfRule>
  </conditionalFormatting>
  <conditionalFormatting sqref="I36:DH44">
    <cfRule type="expression" priority="5" dxfId="6" stopIfTrue="0">
      <formula>AND(I$6&lt;=$G36,I$6+6&gt;=$F36)</formula>
    </cfRule>
  </conditionalFormatting>
  <conditionalFormatting sqref="I35:DH35">
    <cfRule type="expression" priority="6" dxfId="7" stopIfTrue="0">
      <formula>AND(I$6&lt;=$G35,I$6+6&gt;=$F35)</formula>
    </cfRule>
  </conditionalFormatting>
  <conditionalFormatting sqref="I46:DH49">
    <cfRule type="expression" priority="7" dxfId="8" stopIfTrue="0">
      <formula>AND(I$6&lt;=$G46,I$6+6&gt;=$F46)</formula>
    </cfRule>
  </conditionalFormatting>
  <conditionalFormatting sqref="I45:DH45">
    <cfRule type="expression" priority="8" dxfId="9" stopIfTrue="0">
      <formula>AND(I$6&lt;=$G45,I$6+6&gt;=$F45)</formula>
    </cfRule>
  </conditionalFormatting>
  <conditionalFormatting sqref="I8:DH49">
    <cfRule type="expression" priority="9" dxfId="10">
      <formula>AND(TODAY()&gt;=I$6,TODAY()&lt;=I$6+6)</formula>
    </cfRule>
  </conditionalFormatting>
  <conditionalFormatting sqref="C8:E49">
    <cfRule type="cellIs" priority="10" operator="equal" dxfId="0">
      <formula>"Y"</formula>
    </cfRule>
    <cfRule type="cellIs" priority="11" operator="equal" dxfId="1">
      <formula>"N"</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24" customWidth="1" style="14" min="1" max="1"/>
    <col width="60" customWidth="1" style="14" min="2" max="3"/>
    <col width="10" customWidth="1" style="14" min="4" max="4"/>
    <col width="8.710000000000001" customWidth="1" style="14" min="5" max="6"/>
  </cols>
  <sheetData>
    <row r="1">
      <c r="A1" s="1" t="inlineStr">
        <is>
          <t>JCA Platform — Build Plan (Management View)</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14">
      <c r="A2" s="3" t="inlineStr">
        <is>
          <t>User stories grouped by phase and module. Timeline, sequencing, and sprint mapping are intentionally left out of this view and will be added once this plan is reviewed and finalized. See the companion detailed workbook for the full developer-facing breakdown (acceptance criteria, subtasks, priority, complexity, sprint plan, schema, and API map).</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Phase</t>
        </is>
      </c>
      <c r="B4" s="4" t="inlineStr">
        <is>
          <t>Goal</t>
        </is>
      </c>
      <c r="C4" s="4" t="inlineStr">
        <is>
          <t>Modules in This Phase</t>
        </is>
      </c>
      <c r="D4" s="4" t="inlineStr">
        <is>
          <t>Stories</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ht="69.75" customHeight="1" s="14">
      <c r="A5" s="6" t="inlineStr">
        <is>
          <t>Phase 0 — Foundation</t>
        </is>
      </c>
      <c r="B5" s="6" t="inlineStr">
        <is>
          <t>Designs reviewed and approved, design system locked, skeletons deployed, auth working — gates all feature work per RFP §4.1.1.</t>
        </is>
      </c>
      <c r="C5" s="6" t="inlineStr">
        <is>
          <t>Design Review, Cloud Architecture &amp; Platform Setup, Data Migration Planning, Payment Provider Setup, App Delivery Platform Enrollment, Auth, Identity &amp; RBAC</t>
        </is>
      </c>
      <c r="D5" s="6" t="n">
        <v>41</v>
      </c>
      <c r="E5" s="2" t="n"/>
      <c r="F5" s="2" t="n"/>
      <c r="G5" s="2" t="n"/>
      <c r="H5" s="2" t="n"/>
      <c r="I5" s="2" t="n"/>
      <c r="J5" s="2" t="n"/>
      <c r="K5" s="2" t="n"/>
      <c r="L5" s="2" t="n"/>
      <c r="M5" s="2" t="n"/>
      <c r="N5" s="2" t="n"/>
      <c r="O5" s="2" t="n"/>
      <c r="P5" s="2" t="n"/>
      <c r="Q5" s="2" t="n"/>
      <c r="R5" s="2" t="n"/>
      <c r="S5" s="2" t="n"/>
      <c r="T5" s="2" t="n"/>
      <c r="U5" s="2" t="n"/>
      <c r="V5" s="2" t="n"/>
      <c r="W5" s="2" t="n"/>
      <c r="X5" s="2" t="n"/>
      <c r="Y5" s="2" t="n"/>
      <c r="Z5" s="2" t="n"/>
    </row>
    <row r="6" ht="69.75" customHeight="1" s="14">
      <c r="A6" s="6" t="inlineStr">
        <is>
          <t>Phase 1 — v1.0 (initial launch)</t>
        </is>
      </c>
      <c r="B6" s="6" t="inlineStr">
        <is>
          <t>Every P1 feature live on iOS, Android, Web, and Admin. App Store + Play Store approved. Public web launched. RFP §4.1.</t>
        </is>
      </c>
      <c r="C6" s="6" t="inlineStr">
        <is>
          <t>Home &amp; Panchang, Calendar &amp; Events, Content &amp; Newsletter, Payments &amp; Billing Infrastructure, Admin — Shell, Dashboards &amp; Members, Donations &amp; Causes, Recurring Giving &amp; Subscriptions, Membership, Family &amp; Dues, Sponsorships &amp; Religious Calendar, Community Feed &amp; Moderation, Notifications &amp; Messaging, Pathshala, Volunteers &amp; Seva, Live Darshan, Admin — Governance &amp; Operations, Public Web &amp; SEO, Localization &amp; Accessibility, Security, Testing &amp; QA, Store &amp; Launch Readiness</t>
        </is>
      </c>
      <c r="D6" s="6" t="n">
        <v>107</v>
      </c>
      <c r="E6" s="2" t="n"/>
      <c r="F6" s="2" t="n"/>
      <c r="G6" s="2" t="n"/>
      <c r="H6" s="2" t="n"/>
      <c r="I6" s="2" t="n"/>
      <c r="J6" s="2" t="n"/>
      <c r="K6" s="2" t="n"/>
      <c r="L6" s="2" t="n"/>
      <c r="M6" s="2" t="n"/>
      <c r="N6" s="2" t="n"/>
      <c r="O6" s="2" t="n"/>
      <c r="P6" s="2" t="n"/>
      <c r="Q6" s="2" t="n"/>
      <c r="R6" s="2" t="n"/>
      <c r="S6" s="2" t="n"/>
      <c r="T6" s="2" t="n"/>
      <c r="U6" s="2" t="n"/>
      <c r="V6" s="2" t="n"/>
      <c r="W6" s="2" t="n"/>
      <c r="X6" s="2" t="n"/>
      <c r="Y6" s="2" t="n"/>
      <c r="Z6" s="2" t="n"/>
    </row>
    <row r="7" ht="69.75" customHeight="1" s="14">
      <c r="A7" s="6" t="inlineStr">
        <is>
          <t>Phase 2 — v1.5 (should-have follow-on release)</t>
        </is>
      </c>
      <c r="B7" s="6" t="inlineStr">
        <is>
          <t>Member-gated content, governance transparency, richer educational resources. Hindi/Gujarati fully populated. RFP §4.2.</t>
        </is>
      </c>
      <c r="C7" s="6" t="inlineStr">
        <is>
          <t>Governance &amp; Documents, Library, Jinvani &amp; Lectures, Directory, Travel &amp; Facility Booking, Recognition Programs, Youth &amp; YJA, Past Events &amp; Gallery, Reports &amp; Analytics v2, Hindi &amp; Gujarati Localization, v1.5 Hardening &amp; Release</t>
        </is>
      </c>
      <c r="D7" s="6" t="n">
        <v>34</v>
      </c>
      <c r="E7" s="2" t="n"/>
      <c r="F7" s="2" t="n"/>
      <c r="G7" s="2" t="n"/>
      <c r="H7" s="2" t="n"/>
      <c r="I7" s="2" t="n"/>
      <c r="J7" s="2" t="n"/>
      <c r="K7" s="2" t="n"/>
      <c r="L7" s="2" t="n"/>
      <c r="M7" s="2" t="n"/>
      <c r="N7" s="2" t="n"/>
      <c r="O7" s="2" t="n"/>
      <c r="P7" s="2" t="n"/>
      <c r="Q7" s="2" t="n"/>
      <c r="R7" s="2" t="n"/>
      <c r="S7" s="2" t="n"/>
      <c r="T7" s="2" t="n"/>
      <c r="U7" s="2" t="n"/>
      <c r="V7" s="2" t="n"/>
      <c r="W7" s="2" t="n"/>
      <c r="X7" s="2" t="n"/>
      <c r="Y7" s="2" t="n"/>
      <c r="Z7" s="2" t="n"/>
    </row>
    <row r="8" ht="69.75" customHeight="1" s="14">
      <c r="A8" s="6" t="inlineStr">
        <is>
          <t>Phase 3 — v2.0 (nice-to-have and contingent)</t>
        </is>
      </c>
      <c r="B8" s="6" t="inlineStr">
        <is>
          <t>Educational depth and intelligent assistance. Contingent on Phase 1 and Phase 2 acceptance gates. RFP §4.3.</t>
        </is>
      </c>
      <c r="C8" s="6" t="inlineStr">
        <is>
          <t>Jain Philosophy Module, JCA Cares, v2.0 Hardening &amp; Release, AI Chat (contingent workstream)</t>
        </is>
      </c>
      <c r="D8" s="6" t="n">
        <v>12</v>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54.75" customHeight="1" s="14">
      <c r="A10" s="12" t="inlineStr">
        <is>
          <t>Fixed technology decisions reflected throughout this plan: a single Expo codebase builds the Web, iOS, and Android UI from one source; Payload CMS is the admin utility and content layer (the admin can edit almost everything, including landing-page content, from one place); FastAPI is the backend API. See the Tech Decisions sheet for the full rationale.</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3">
    <mergeCell ref="A1:D1"/>
    <mergeCell ref="A2:D2"/>
    <mergeCell ref="A10:D10"/>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26" customWidth="1" style="14" min="1" max="1"/>
    <col width="12" customWidth="1" style="14" min="2" max="2"/>
    <col width="32" customWidth="1" style="14" min="3" max="3"/>
    <col width="62" customWidth="1" style="14" min="4" max="4"/>
    <col width="40" customWidth="1" style="14" min="5" max="5"/>
    <col width="8.710000000000001" customWidth="1" style="14" min="6" max="6"/>
  </cols>
  <sheetData>
    <row r="1">
      <c r="A1" s="1" t="inlineStr">
        <is>
          <t>Tech Decisions</t>
        </is>
      </c>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14">
      <c r="A2" s="3" t="inlineStr">
        <is>
          <t>What we're building on, why, and what the trade-off is.</t>
        </is>
      </c>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Decision</t>
        </is>
      </c>
      <c r="B4" s="4" t="inlineStr">
        <is>
          <t>Fixed by User</t>
        </is>
      </c>
      <c r="C4" s="4" t="inlineStr">
        <is>
          <t>Options Considered</t>
        </is>
      </c>
      <c r="D4" s="4" t="inlineStr">
        <is>
          <t>Why This / Risk &amp; Mitigation</t>
        </is>
      </c>
      <c r="E4" s="4" t="inlineStr">
        <is>
          <t>Recommendation</t>
        </is>
      </c>
      <c r="F4" s="2" t="n"/>
      <c r="G4" s="2" t="n"/>
      <c r="H4" s="2" t="n"/>
      <c r="I4" s="2" t="n"/>
      <c r="J4" s="2" t="n"/>
      <c r="K4" s="2" t="n"/>
      <c r="L4" s="2" t="n"/>
      <c r="M4" s="2" t="n"/>
      <c r="N4" s="2" t="n"/>
      <c r="O4" s="2" t="n"/>
      <c r="P4" s="2" t="n"/>
      <c r="Q4" s="2" t="n"/>
      <c r="R4" s="2" t="n"/>
      <c r="S4" s="2" t="n"/>
      <c r="T4" s="2" t="n"/>
      <c r="U4" s="2" t="n"/>
      <c r="V4" s="2" t="n"/>
      <c r="W4" s="2" t="n"/>
      <c r="X4" s="2" t="n"/>
      <c r="Y4" s="2" t="n"/>
      <c r="Z4" s="2" t="n"/>
    </row>
    <row r="5" ht="159.75" customHeight="1" s="14">
      <c r="A5" s="6" t="inlineStr">
        <is>
          <t>Unified UI framework — Web &amp; App</t>
        </is>
      </c>
      <c r="B5" s="6" t="inlineStr">
        <is>
          <t>Yes</t>
        </is>
      </c>
      <c r="C5" s="6" t="inlineStr">
        <is>
          <t>Expo (Router + React Native Web), one codebase for iOS/Android/Web · Previous approach: separate Next.js web app + React Native mobile app</t>
        </is>
      </c>
      <c r="D5" s="6" t="inlineStr">
        <is>
          <t>User has directed one Expo codebase for every screen — iOS, Android, and web — instead of maintaining a Next.js web app and a React Native mobile app as two separate frontends. Expo Router's file-based routing produces native screens on iOS/Android and a React Native Web build for the browser from the same component tree, so a feature (e.g. Sponsor a Tithi) is built once and ships to all three surfaces instead of twice. EAS Build/Submit already unifies the iOS/Android pipeline; the same pipeline now also produces the web bundle, and `expo-updates` can push copy/content fixes to the app surfaces over the air between store reviews — real value for a volunteer-run nonprofit that cannot wait a week for an App Store review to fix a typo in a festival date.
React Native Web has historically lagged a dedicated SSR framework on the SEO-critical parts of the public site (§4.1.3, §5.4: meta tags, structured data, sitemap, fast first paint on elder devices). **Mitigation:** Expo Router's static/server rendering output mode pre-renders the public web routes (Home, Events, Donate, About, Policies) with real per-page HTML and metadata; the Public Web &amp; SEO module is scoped against this rendering mode from the start, not client-only SPA rendering. Live Darshan's Picture-in-Picture, AirPlay, and Google Cast requirement (§4.1.2) still needs a custom Expo dev client, not the vanilla Expo Go app — booked as the Sprint 1 spike (ARCH-2) before any feature work depends on it.</t>
        </is>
      </c>
      <c r="E5" s="6" t="inlineStr">
        <is>
          <t>Expo (Router, custom dev client) as the single Web + iOS + Android codebase; EAS Build/Submit for all three targets</t>
        </is>
      </c>
      <c r="F5" s="2" t="n"/>
      <c r="G5" s="2" t="n"/>
      <c r="H5" s="2" t="n"/>
      <c r="I5" s="2" t="n"/>
      <c r="J5" s="2" t="n"/>
      <c r="K5" s="2" t="n"/>
      <c r="L5" s="2" t="n"/>
      <c r="M5" s="2" t="n"/>
      <c r="N5" s="2" t="n"/>
      <c r="O5" s="2" t="n"/>
      <c r="P5" s="2" t="n"/>
      <c r="Q5" s="2" t="n"/>
      <c r="R5" s="2" t="n"/>
      <c r="S5" s="2" t="n"/>
      <c r="T5" s="2" t="n"/>
      <c r="U5" s="2" t="n"/>
      <c r="V5" s="2" t="n"/>
      <c r="W5" s="2" t="n"/>
      <c r="X5" s="2" t="n"/>
      <c r="Y5" s="2" t="n"/>
      <c r="Z5" s="2" t="n"/>
    </row>
    <row r="6" ht="159.75" customHeight="1" s="14">
      <c r="A6" s="6" t="inlineStr">
        <is>
          <t>Admin utility &amp; content management</t>
        </is>
      </c>
      <c r="B6" s="6" t="inlineStr">
        <is>
          <t>Yes</t>
        </is>
      </c>
      <c r="C6" s="6" t="inlineStr">
        <is>
          <t>Payload CMS (self-hosted, Postgres adapter) · Previous approach: separate Vite + React SPA built from scratch</t>
        </is>
      </c>
      <c r="D6" s="6" t="inlineStr">
        <is>
          <t>User has directed Payload CMS as the admin and content layer, replacing a bespoke admin SPA. Payload generates a production admin UI — sidebar navigation, list views with sort/filter/search/bulk actions, a document editor, and a Cmd+K jump-to search — directly from a collection config, so most of the RFP's 20 admin sections (§3.4) exist as configuration, not hand-built screens. Per-collection and per-field access control covers a large share of the granular-permissions requirement (§4.4.1). Built-in drafts/versioning and document locking cover much of the audit-trail and concurrent-edit requirements (§4.4.1, §4.5.3) without a custom implementation. Content authored in Payload — announcements, pages, FAQ, policies, translation strings — is exposed over a REST/ GraphQL API the Expo app consumes, which is exactly the "admin can edit everything, including the landing page copy" outcome the user wants.
Payload runs on Node.js/Next.js with its own Postgres adapter — a second server-side stack alongside the Python FastAPI service, a real increase in operational surface versus one backend. **Mitigation:** both services point at the same Postgres 16 instance (Payload owns content/CMS tables, FastAPI owns transactional business tables — money, membership, dues, RSVPs), so there is one database to operate and back up, not two. Screens the RFP needs that don't map onto a generic Payload collection view (Member 360, the Operations Dashboard, the two-person money-confirmation modal, the dues-aging report) are built as custom Payload admin components, keeping exactly one admin application in production rather than a second bespoke app. Payload has no built-in MFA or no-code role editor — both are named as explicitly custom-built work in the Auth &amp; RBAC module rather than assumed free.</t>
        </is>
      </c>
      <c r="E6" s="6" t="inlineStr">
        <is>
          <t>Payload CMS as the admin utility and content layer, self-hosted, Postgres adapter, custom admin views for the screens a generic collection view can't express</t>
        </is>
      </c>
      <c r="F6" s="2" t="n"/>
      <c r="G6" s="2" t="n"/>
      <c r="H6" s="2" t="n"/>
      <c r="I6" s="2" t="n"/>
      <c r="J6" s="2" t="n"/>
      <c r="K6" s="2" t="n"/>
      <c r="L6" s="2" t="n"/>
      <c r="M6" s="2" t="n"/>
      <c r="N6" s="2" t="n"/>
      <c r="O6" s="2" t="n"/>
      <c r="P6" s="2" t="n"/>
      <c r="Q6" s="2" t="n"/>
      <c r="R6" s="2" t="n"/>
      <c r="S6" s="2" t="n"/>
      <c r="T6" s="2" t="n"/>
      <c r="U6" s="2" t="n"/>
      <c r="V6" s="2" t="n"/>
      <c r="W6" s="2" t="n"/>
      <c r="X6" s="2" t="n"/>
      <c r="Y6" s="2" t="n"/>
      <c r="Z6" s="2" t="n"/>
    </row>
    <row r="7" ht="159.75" customHeight="1" s="14">
      <c r="A7" s="6" t="inlineStr">
        <is>
          <t>Backend framework</t>
        </is>
      </c>
      <c r="B7" s="6" t="inlineStr">
        <is>
          <t>Yes</t>
        </is>
      </c>
      <c r="C7" s="6" t="inlineStr">
        <is>
          <t>FastAPI + SQLAlchemy + Pydantic (Python) · Previous approach: Django 5 + Django REST Framework</t>
        </is>
      </c>
      <c r="D7" s="6" t="inlineStr">
        <is>
          <t>User has directed FastAPI as the single backend framework, replacing the earlier Django/DRF plan. FastAPI generates the OpenAPI 3.1 schema natively from route and Pydantic-model type hints — no separate schema-generation library needed — which keeps the packages/api-client codegen pipeline simple. Native async support fits notification fan-out (APNs/FCM/Web Push/email), concurrent payment-processor webhooks (Stripe + PayPal), and the Phase 3 AI Chat streaming workload on the same stack the rest of the platform already runs, rather than reserving a second, "substantially different" stack for that one workstream as previously planned — RFP §4.3's anticipated stack difference is now just "the same FastAPI service, a different workload."
FastAPI doesn't bundle Django's batteries — no built-in ORM, admin site, auth system, or migrations tool. **Mitigation:** SQLAlchemy 2.x is the ORM, Alembic handles migrations, and a small shared base-model mixin (id, created/updated timestamps, actor tracking, soft-delete flag, optimistic-lock version column) plus one audit-log table replace what django-safedelete/django-simple-history gave for free — this is booked as its own story (DB-2) rather than assumed to come with the framework. The admin-site gap is filled entirely by Payload CMS (above), so FastAPI never needs one of its own. Celery (or an RQ-based equivalent) still handles push fan-out, scheduled publish, and dues-reminder dunning as background jobs outside the request cycle.</t>
        </is>
      </c>
      <c r="E7" s="6" t="inlineStr">
        <is>
          <t>FastAPI + SQLAlchemy 2.x + Alembic + Pydantic for the core platform API and the Phase 3 AI Chat service — one Python backend throughout</t>
        </is>
      </c>
      <c r="F7" s="2" t="n"/>
      <c r="G7" s="2" t="n"/>
      <c r="H7" s="2" t="n"/>
      <c r="I7" s="2" t="n"/>
      <c r="J7" s="2" t="n"/>
      <c r="K7" s="2" t="n"/>
      <c r="L7" s="2" t="n"/>
      <c r="M7" s="2" t="n"/>
      <c r="N7" s="2" t="n"/>
      <c r="O7" s="2" t="n"/>
      <c r="P7" s="2" t="n"/>
      <c r="Q7" s="2" t="n"/>
      <c r="R7" s="2" t="n"/>
      <c r="S7" s="2" t="n"/>
      <c r="T7" s="2" t="n"/>
      <c r="U7" s="2" t="n"/>
      <c r="V7" s="2" t="n"/>
      <c r="W7" s="2" t="n"/>
      <c r="X7" s="2" t="n"/>
      <c r="Y7" s="2" t="n"/>
      <c r="Z7" s="2" t="n"/>
    </row>
    <row r="8" ht="159.75" customHeight="1" s="14">
      <c r="A8" s="6" t="inlineStr">
        <is>
          <t>Primary database</t>
        </is>
      </c>
      <c r="B8" s="6" t="inlineStr">
        <is>
          <t>No</t>
        </is>
      </c>
      <c r="C8" s="6" t="inlineStr">
        <is>
          <t>PostgreSQL 16 · MySQL 8 · migrate/extend JCA's existing database</t>
        </is>
      </c>
      <c r="D8" s="6" t="inlineStr">
        <is>
          <t>Relational integrity is non-negotiable for money and membership data. Postgres adds JSONB for flexible content blocks (event schedules, quiz questions), `pg_trgm` + `unaccent` for typo-tolerant, diacritic-aware search over Sanskrit/Prakrit terms (§4.4.1), and row-level audit triggers that back the immutable audit log. Both the FastAPI service and Payload CMS target this same Postgres instance, in separate schemas, so there is one datastore to provision, back up, and monitor.
RFP §1.1 states a database is "already available," and §3.4 item 15 says "the database of library books is already available." We do not yet know what that system is. **Mitigation:** a dedicated audit and migration-path story is booked in the Data Migration Planning module before the schema is frozen, so existing data is assessed before Postgres is committed to as the system of record.</t>
        </is>
      </c>
      <c r="E8" s="6" t="inlineStr">
        <is>
          <t>PostgreSQL 16, pending the Phase 0 legacy-database audit</t>
        </is>
      </c>
      <c r="F8" s="2" t="n"/>
      <c r="G8" s="2" t="n"/>
      <c r="H8" s="2" t="n"/>
      <c r="I8" s="2" t="n"/>
      <c r="J8" s="2" t="n"/>
      <c r="K8" s="2" t="n"/>
      <c r="L8" s="2" t="n"/>
      <c r="M8" s="2" t="n"/>
      <c r="N8" s="2" t="n"/>
      <c r="O8" s="2" t="n"/>
      <c r="P8" s="2" t="n"/>
      <c r="Q8" s="2" t="n"/>
      <c r="R8" s="2" t="n"/>
      <c r="S8" s="2" t="n"/>
      <c r="T8" s="2" t="n"/>
      <c r="U8" s="2" t="n"/>
      <c r="V8" s="2" t="n"/>
      <c r="W8" s="2" t="n"/>
      <c r="X8" s="2" t="n"/>
      <c r="Y8" s="2" t="n"/>
      <c r="Z8" s="2" t="n"/>
    </row>
    <row r="9" ht="159.75" customHeight="1" s="14">
      <c r="A9" s="6" t="inlineStr">
        <is>
          <t>Payment processor</t>
        </is>
      </c>
      <c r="B9" s="6" t="inlineStr">
        <is>
          <t>No</t>
        </is>
      </c>
      <c r="C9" s="6" t="inlineStr">
        <is>
          <t>Stripe + PayPal Commerce · Stripe only · Authorize.net · Donorbox/Givebutter hosted widgets</t>
        </is>
      </c>
      <c r="D9" s="6" t="inlineStr">
        <is>
          <t>Stripe covers cards, Apple Pay, Google Pay, ACH, and Stripe Billing for recurring giving with pause/edit/cancel in two interactions or fewer (§2.2). Payment Element (web) and the Stripe React Native SDK keep the platform at PCI SAQ-A — card numbers never touch our servers. The Refunds API is idempotent, which fits the two-person-confirmation rule for money (§4.4.1) cleanly: one admin initiates, the second confirms, then the refund call fires once. Stripe offers a reduced processing rate for registered 501(c)(3) nonprofits.
Stripe's own PayPal payment method is not available to US-based Stripe accounts, but §4.1.3 explicitly requires PayPal support — so Stripe alone does not satisfy the RFP. PayPal Commerce Platform is integrated as a second, separate rail specifically for that requirement. **Rejected:** Authorize.net has no clean native-wallet (Apple Pay/Google Pay) story for a React Native app. Donorbox/ Givebutter are rejected because their hosted-widget model can't be embedded natively inside the Expo app's donation flow and would fork receipts and donation records outside our single source of truth (§2.2). Receipts are generated by our own backend, not by the processor — 501(c)(3) receipts must carry JCA's EIN and "no goods or services were provided" language, which is JCA-specific content no processor template provides. Zelle/bank transfer shown in the mockup is treated as off-platform and recorded via the admin's manual donation-entry component, not as a live payment rail.</t>
        </is>
      </c>
      <c r="E9" s="6" t="inlineStr">
        <is>
          <t>Stripe (cards, Apple Pay, Google Pay, ACH, Billing) as primary</t>
        </is>
      </c>
      <c r="F9" s="2" t="n"/>
      <c r="G9" s="2" t="n"/>
      <c r="H9" s="2" t="n"/>
      <c r="I9" s="2" t="n"/>
      <c r="J9" s="2" t="n"/>
      <c r="K9" s="2" t="n"/>
      <c r="L9" s="2" t="n"/>
      <c r="M9" s="2" t="n"/>
      <c r="N9" s="2" t="n"/>
      <c r="O9" s="2" t="n"/>
      <c r="P9" s="2" t="n"/>
      <c r="Q9" s="2" t="n"/>
      <c r="R9" s="2" t="n"/>
      <c r="S9" s="2" t="n"/>
      <c r="T9" s="2" t="n"/>
      <c r="U9" s="2" t="n"/>
      <c r="V9" s="2" t="n"/>
      <c r="W9" s="2" t="n"/>
      <c r="X9" s="2" t="n"/>
      <c r="Y9" s="2" t="n"/>
      <c r="Z9" s="2" t="n"/>
    </row>
    <row r="10" ht="159.75" customHeight="1" s="14">
      <c r="A10" s="6" t="inlineStr">
        <is>
          <t>Search</t>
        </is>
      </c>
      <c r="B10" s="6" t="inlineStr">
        <is>
          <t>No</t>
        </is>
      </c>
      <c r="C10" s="6" t="inlineStr">
        <is>
          <t>PostgreSQL full-text search + pg_trgm + unaccent · Elasticsearch · Meilisearch (from day one) · Algolia</t>
        </is>
      </c>
      <c r="D10" s="6" t="inlineStr">
        <is>
          <t>§4.4.1 requires typo-tolerant search across members, families, donations, events, and posts, including Sanskrit/Prakrit terminology and name transliterations. Postgres FTS with `pg_trgm` (trigram similarity) and `unaccent` (diacritic-insensitive matching) covers this without standing up a second datastore, which keeps Phase 1 infrastructure simpler and the audit surface smaller.
Full-text search over scanned/OCR'd PDF scripture and lecture content in the Phase 2 Library &amp; Jinvani module is exactly the workload Postgres FTS starts to strain under — ranking quality and multi-language stemming are weaker than a dedicated search engine. **Mitigation:** Meilisearch is introduced in Phase 2, precisely when that workload appears, rather than paying its operational cost from day one for admin/member search Postgres already handles well.</t>
        </is>
      </c>
      <c r="E10" s="6" t="inlineStr">
        <is>
          <t>Postgres FTS + pg_trgm + unaccent in Phase 1; add Meilisearch in Phase 2 for library/lecture full-text search</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9.75" customHeight="1" s="14">
      <c r="A11" s="6" t="inlineStr">
        <is>
          <t>Cloud hosting</t>
        </is>
      </c>
      <c r="B11" s="6" t="inlineStr">
        <is>
          <t>No</t>
        </is>
      </c>
      <c r="C11" s="6" t="inlineStr">
        <is>
          <t>GCP (Cloud Run + Cloud SQL + Cloud Storage/CDN) · AWS (ECS/Fargate + RDS + S3/CloudFront)</t>
        </is>
      </c>
      <c r="D11" s="6" t="inlineStr">
        <is>
          <t>Google for Nonprofits offers substantial Cloud credit grants to registered 501(c)(3) organizations — directly relevant to JCA's budget as a nonprofit. Cloud Run's scale-to-zero model suits a congregation-sized traffic pattern with sharp peaks around festivals (Paryushan, Diwali, MJK) and otherwise-quiet weekdays, and hosts the FastAPI service and the Payload admin/CMS app as two independent Cloud Run services against the same Cloud SQL instance. Cloud Build gives a native CI/CD path matching the team's existing GCP experience.
Cloud Run cold starts add latency on the first request after an idle period — mitigated with a minimum-instance-count of 1 on both the FastAPI service and the Payload admin service so the admin utility and payment endpoints never cold-start. AWS ECS/Fargate + RDS + S3/CloudFront is recorded as the equivalent alternative if JCA's board has an existing AWS relationship or credit commitment; the Terraform/ IaC layer is written to keep this swap feasible without an application-code rewrite.</t>
        </is>
      </c>
      <c r="E11" s="6" t="inlineStr">
        <is>
          <t>For example : GCP — Cloud Run (FastAPI + Payload), Cloud SQL (Postgres), Cloud Storage + Cloud CDN, Secret Manager, Cloud Build</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9.75" customHeight="1" s="14">
      <c r="A12" s="6" t="inlineStr">
        <is>
          <t>Live Darshan streaming</t>
        </is>
      </c>
      <c r="B12" s="6" t="inlineStr">
        <is>
          <t>No</t>
        </is>
      </c>
      <c r="C12" s="6" t="inlineStr">
        <is>
          <t>Player only, JCA-supplied HLS URLs · Fully managed live encoding (Mux / Cloudflare Stream Live)</t>
        </is>
      </c>
      <c r="D12" s="6" t="inlineStr">
        <is>
          <t>RFP §3.4 item 14 scopes the admin's job as configuring stream-source URLs per tradition (HLS URLs, fallback, scheduled on/off windows) and monitoring stream health — not operating an encoder. Building only the player, PiP, AirPlay/Cast, and health-check layer keeps several sprints of encoding infrastructure out of scope that the RFP never asked for.
If JCA does not already have a hardware or software encoder producing HLS streams from the five shrines, this decision assumes infrastructure that may not exist. **Mitigation:** this is confirmed with JCA during Phase 0 — if JCA has no encoder, a managed live-encoding service becomes a separately-priced change order, not silent scope creep absorbed into Phase 1.</t>
        </is>
      </c>
      <c r="E12" s="6" t="inlineStr">
        <is>
          <t>Player only in Phase 1; managed encoding is a change order if JCA has no encoder</t>
        </is>
      </c>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9.75" customHeight="1" s="14">
      <c r="A13" s="6" t="inlineStr">
        <is>
          <t>Monorepo tooling</t>
        </is>
      </c>
      <c r="B13" s="6" t="inlineStr">
        <is>
          <t>No</t>
        </is>
      </c>
      <c r="C13" s="6" t="inlineStr">
        <is>
          <t>Turborepo + pnpm workspaces · Nx · separate repos per surface</t>
        </is>
      </c>
      <c r="D13" s="6" t="inlineStr">
        <is>
          <t>RFP §3.1 requires every surface to share the same design tokens (colors, typography, spacing, radii, shadows). A single `packages/tokens` source of truth — generating CSS custom properties for the Payload admin theme and a React Native theme object for the Expo app from the same token file — satisfies that requirement structurally rather than by convention. A generated TypeScript API client from FastAPI's OpenAPI schema in `packages/api-client` eliminates drift between the backend contract and the Expo app's usage of it.
EAS Build needs explicit configuration to build an Expo app that lives inside a monorepo rather than at a repo root — this is booked as a named subtask in Project Setup &amp; CI/CD (Sprint 1) rather than discovered mid-Phase-1. Payload's own Next.js app also needs to be told where the monorepo's shared packages live.</t>
        </is>
      </c>
      <c r="E13" s="6" t="inlineStr">
        <is>
          <t>Turborepo + pnpm workspaces: apps/expo (Web + iOS + Android), apps/admin (Payload CMS), packages/tokens, packages/ui, packages/api-client; backend in services/api (FastAPI)</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9.75" customHeight="1" s="14">
      <c r="A14" s="6" t="inlineStr">
        <is>
          <t>Localization approach</t>
        </is>
      </c>
      <c r="B14" s="6" t="inlineStr">
        <is>
          <t>No</t>
        </is>
      </c>
      <c r="C14" s="6" t="inlineStr">
        <is>
          <t>Centralized LocalizationStrings collection in Payload · Per-surface translation files (i18next per app, duplicated)</t>
        </is>
      </c>
      <c r="D14" s="6" t="inlineStr">
        <is>
          <t>RFP §3.1 explicitly requires localization to be centralized — "strings live in the backend or a shared catalog, not duplicated per surface." A `LocalizationStrings` collection in Payload, with English/Hindi/ Gujarati fields per key, gives the admin utility's translator-review workflow (§5.2) a native fit: Payload's draft/publish and versioning already model "submitted, pending review, live" for a string, rather than a separate review workflow built from scratch.
A Payload-served catalog adds a network dependency for strings that per-surface i18next files would resolve at build time — mitigated by aggressive client-side caching of the catalog in the Expo app with a version/ETag check, so steady-state usage never re-fetches unchanged strings.</t>
        </is>
      </c>
      <c r="E14" s="6" t="inlineStr">
        <is>
          <t>Centralized LocalizationStrings collection in Payload, served via its API, cached in the Expo app with version-checked invalidation</t>
        </is>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2">
    <mergeCell ref="A2:E2"/>
    <mergeCell ref="A1:E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14" min="1" max="1"/>
    <col width="30" customWidth="1" style="14" min="2" max="2"/>
    <col width="52" customWidth="1" style="14" min="3" max="3"/>
    <col width="66" customWidth="1" style="14" min="4" max="4"/>
    <col width="8.710000000000001" customWidth="1" style="14" min="5" max="6"/>
  </cols>
  <sheetData>
    <row r="1">
      <c r="A1" s="1" t="inlineStr">
        <is>
          <t>Phase 0 — Foundation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14">
      <c r="A2" s="3" t="inlineStr">
        <is>
          <t>Designs reviewed and approved, design system locked, skeletons deployed, auth working — gates all feature work per RFP §4.1.1.</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ID</t>
        </is>
      </c>
      <c r="B4" s="4" t="inlineStr">
        <is>
          <t>Module</t>
        </is>
      </c>
      <c r="C4" s="4" t="inlineStr">
        <is>
          <t>User Story</t>
        </is>
      </c>
      <c r="D4" s="4" t="inlineStr">
        <is>
          <t>Description</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ht="84.75" customHeight="1" s="14">
      <c r="A5" s="5" t="inlineStr">
        <is>
          <t>DR-1</t>
        </is>
      </c>
      <c r="B5" s="8" t="inlineStr">
        <is>
          <t>Design Review</t>
        </is>
      </c>
      <c r="C5" s="5" t="inlineStr">
        <is>
          <t>Website review — public website screens reviewed and approved so they are final and ready to build.</t>
        </is>
      </c>
      <c r="D5" s="5" t="inlineStr">
        <is>
          <t>Every public website screen (homepage, info pages, event browse, donate, newsletter sign-up, sign-in entry points) is presented to the JCA project committee at phone, tablet, and desktop breakpoints. Feedback is incorporated and written sign-off is recorded; approved screens are frozen as the build reference.</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ht="84.75" customHeight="1" s="14">
      <c r="A6" s="5" t="inlineStr">
        <is>
          <t>DR-2</t>
        </is>
      </c>
      <c r="C6" s="5" t="inlineStr">
        <is>
          <t>App review — iOS and Android app screens reviewed and approved so they are final and ready to build.</t>
        </is>
      </c>
      <c r="D6" s="5" t="inlineStr">
        <is>
          <t>All mobile app screens (Home, Live Darshan, Calendar, Donate flows, Community, Profile/More, etc.), including dark-mode and AA-contrast variants, are reviewed with the JCA project committee. Written sign-off is recorded; approved screens are frozen as the build reference.</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ht="84.75" customHeight="1" s="14">
      <c r="A7" s="5" t="inlineStr">
        <is>
          <t>DR-3</t>
        </is>
      </c>
      <c r="C7" s="5" t="inlineStr">
        <is>
          <t>Web app review — signed-in member web experience reviewed and approved so it is final and ready to build.</t>
        </is>
      </c>
      <c r="D7" s="5" t="inlineStr">
        <is>
          <t>The authenticated member web dashboard and navigation (mirroring the mobile information architecture) are reviewed with the JCA project committee at desktop breakpoints. Written sign-off is recorded; approved screens are frozen as the build reference.</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ht="84.75" customHeight="1" s="14">
      <c r="A8" s="5" t="inlineStr">
        <is>
          <t>DR-4</t>
        </is>
      </c>
      <c r="C8" s="5" t="inlineStr">
        <is>
          <t>Web admin utility review — admin utility screens reviewed and approved so they are final and ready to build.</t>
        </is>
      </c>
      <c r="D8" s="5" t="inlineStr">
        <is>
          <t>The Payload admin re-skin, sidebar grouping, Operations Dashboard, Member 360, and other custom admin views are reviewed with the JCA project committee. Written sign-off is recorded; approved screens are frozen as the build reference.</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ht="84.75" customHeight="1" s="14">
      <c r="A9" s="13" t="inlineStr">
        <is>
          <t>ARCH-1</t>
        </is>
      </c>
      <c r="B9" s="33" t="inlineStr">
        <is>
          <t>Cloud Architecture &amp; Platform Setup</t>
        </is>
      </c>
      <c r="C9" s="13" t="inlineStr">
        <is>
          <t>The stack ratified and recorded as ADRs so every subsequent decision traces back to a documented rationale.</t>
        </is>
      </c>
      <c r="D9" s="13" t="inlineStr">
        <is>
          <t>ADRs written for the unified UI framework (Expo), the admin/content layer (Payload CMS), the backend framework (FastAPI), database, payments, search, hosting, streaming, and monorepo tooling — matching the Tech Decisions sheet; each ADR includes the offense/defence and a named owner.</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ht="84.75" customHeight="1" s="14">
      <c r="A10" s="13" t="inlineStr">
        <is>
          <t>ARCH-2</t>
        </is>
      </c>
      <c r="C10" s="13" t="inlineStr">
        <is>
          <t>A spike proving Picture-in-Picture, AirPlay, and Google Cast work in an Expo dev-client build before Live Darshan is scheduled as a feature sprint.</t>
        </is>
      </c>
      <c r="D10" s="13" t="inlineStr">
        <is>
          <t>A throwaway Expo dev-client build demonstrates PiP on iOS, AirPlay casting to an Apple TV, and Google Cast to a Chromecast, all playing a test HLS stream; findings documented, blocking risks flagged.</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84.75" customHeight="1" s="14">
      <c r="A11" s="13" t="inlineStr">
        <is>
          <t>ARCH-3</t>
        </is>
      </c>
      <c r="C11" s="13" t="inlineStr">
        <is>
          <t>The monorepo topology (Turborepo + pnpm) scaffolded so every surface shares tokens and the generated API client from day one.</t>
        </is>
      </c>
      <c r="D11" s="13" t="inlineStr">
        <is>
          <t>Monorepo created with apps/expo (Web + iOS + Android), apps/admin (Payload CMS), packages/tokens, packages/ui, packages/api-client, and services/api (FastAPI); a shared token change in packages/tokens visibly propagates to a placeholder screen in the Expo app and a placeholder page in the Payload admin theme.</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84.75" customHeight="1" s="14">
      <c r="A12" s="13" t="inlineStr">
        <is>
          <t>ARCH-4</t>
        </is>
      </c>
      <c r="C12" s="13" t="inlineStr">
        <is>
          <t>Environment topology (local, staging, production) defined so every surface and both backend services deploy predictably.</t>
        </is>
      </c>
      <c r="D12" s="13" t="inlineStr">
        <is>
          <t>Environment matrix documents URLs, config sources, and data-isolation rules for local/staging/production across the Expo app, the Payload admin app, and the FastAPI service; admin utility staging vs production promotion flow (including Payload content promotion) documented per RFP §4.4.2.</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84.75" customHeight="1" s="14">
      <c r="A13" s="13" t="inlineStr">
        <is>
          <t>DB-1</t>
        </is>
      </c>
      <c r="C13" s="13" t="inlineStr">
        <is>
          <t>The nine-domain data model designed and reviewed so every subsequent feature sprint builds against a stable schema.</t>
        </is>
      </c>
      <c r="D13" s="13" t="inlineStr">
        <is>
          <t>ERD covers all nine domains (Identity &amp; Access, Membership, Giving, Sponsorship, Events &amp; Facilities, Community, Content, Education &amp; Seva, Platform Operations) per docs/03-database-schema.md, split between Payload-owned content collections and FastAPI-owned transactional tables; reviewed by JCA's technical advisor per RFP §4.1.1.</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84.75" customHeight="1" s="14">
      <c r="A14" s="13" t="inlineStr">
        <is>
          <t>DB-2</t>
        </is>
      </c>
      <c r="C14" s="13" t="inlineStr">
        <is>
          <t>The cross-cutting conventions (UUID PKs, soft-delete tombstone, optimistic-locking version column, audit trail) applied to every FastAPI-owned table via a shared SQLAlchemy base model, since FastAPI doesn't bundle these the way Django's ecosystem does.</t>
        </is>
      </c>
      <c r="D14" s="13" t="inlineStr">
        <is>
          <t>A shared SQLAlchemy declarative base/mixin provides id, created_at, updated_at, created_by, updated_by, deleted_at, and version on every business table; a companion audit-log table records every state-changing write with actor and before/after values; Alembic migration generates all of it cleanly on a fresh database.</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84.75" customHeight="1" s="14">
      <c r="A15" s="13" t="inlineStr">
        <is>
          <t>DB-3</t>
        </is>
      </c>
      <c r="C15" s="13" t="inlineStr">
        <is>
          <t>Baseline Alembic migrations and seed data so every developer can stand up an identical local Postgres database for both the FastAPI service and Payload.</t>
        </is>
      </c>
      <c r="D15" s="13" t="inlineStr">
        <is>
          <t>Initial FastAPI migration set (Alembic) and Payload's own migration/config apply cleanly on a fresh Postgres 16 instance; seed-data fixtures populate roles, permissions, the five traditions, and a handful of demo members/events for local development.</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84.75" customHeight="1" s="14">
      <c r="A16" s="13" t="inlineStr">
        <is>
          <t>DB-4</t>
        </is>
      </c>
      <c r="C16" s="13" t="inlineStr">
        <is>
          <t>Pg_trgm and unaccent enabled with indexes on searchable name/content fields so search is typo-tolerant and diacritic-aware from day one.</t>
        </is>
      </c>
      <c r="D16" s="13" t="inlineStr">
        <is>
          <t>pg_trgm and unaccent extensions enabled on the Postgres instance; trigram indexes added on member_profile.display_name, event.title, and post.body; a manual test query with a typo and a missing diacritic both return the expected row.</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84.75" customHeight="1" s="14">
      <c r="A17" s="13" t="inlineStr">
        <is>
          <t>API-1</t>
        </is>
      </c>
      <c r="C17" s="13" t="inlineStr">
        <is>
          <t>FastAPI's native OpenAPI 3.1 schema generation wired up and published so the frontend contract is always in sync with the actual routes, with no separate schema-generation library to maintain.</t>
        </is>
      </c>
      <c r="D17" s="13" t="inlineStr">
        <is>
          <t>OpenAPI schema auto-generates at /openapi.json straight from FastAPI route and Pydantic-model type hints; a Swagger/Redoc UI is reachable in the staging environment; schema includes example payloads for at least the auth and member-profile endpoints.</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84.75" customHeight="1" s="14">
      <c r="A18" s="13" t="inlineStr">
        <is>
          <t>API-2</t>
        </is>
      </c>
      <c r="C18" s="13" t="inlineStr">
        <is>
          <t>A API client generated from the FastAPI OpenAPI schema, plus a typed client for Payload's REST/GraphQL content API, into packages/api-client, so the Expo app calls both backends through one typed interface.</t>
        </is>
      </c>
      <c r="D18" s="13" t="inlineStr">
        <is>
          <t>A codegen script produces a typed client from FastAPI's live schema and a typed client from Payload's generated types; a change to a FastAPI Pydantic model or a Payload collection field is reflected in the generated client on the next codegen run without manual edits; both clients are published as one workspace package consumed by the Expo app.</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84.75" customHeight="1" s="14">
      <c r="A19" s="13" t="inlineStr">
        <is>
          <t>API-3</t>
        </is>
      </c>
      <c r="C19" s="13" t="inlineStr">
        <is>
          <t>An API versioning and deprecation policy documented so breaking changes never surprise a shipped mobile client, per RFP §3.1.</t>
        </is>
      </c>
      <c r="D19" s="13" t="inlineStr">
        <is>
          <t>Versioning policy documented (URL-prefixed /api/v1/); deprecation window defined (minimum 90 days with a Sunset header); policy referenced in every ADR touching the API surface.</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84.75" customHeight="1" s="14">
      <c r="A20" s="13" t="inlineStr">
        <is>
          <t>API-4</t>
        </is>
      </c>
      <c r="C20" s="13" t="inlineStr">
        <is>
          <t>A standard error envelope and pagination/filtering convention so every FastAPI endpoint behaves predictably across all surfaces.</t>
        </is>
      </c>
      <c r="D20" s="13" t="inlineStr">
        <is>
          <t>Error responses follow a consistent {code, message, field_errors} shape; list endpoints support cursor-based pagination and a common filter/sort query-param convention; documented in the API contract.</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84.75" customHeight="1" s="14">
      <c r="A21" s="13" t="inlineStr">
        <is>
          <t>SETUP-1</t>
        </is>
      </c>
      <c r="C21" s="13" t="inlineStr">
        <is>
          <t>Three project skeletons — the FastAPI backend, the Payload admin/CMS app, and the single Expo app — created with CI so every surface builds and lints on every push, per RFP §4.1.1.</t>
        </is>
      </c>
      <c r="D21" s="13" t="inlineStr">
        <is>
          <t>Each of the three skeletons has a passing CI pipeline running build + lint + test on every push; badge visible in each app's README; a trivial change to each surface triggers and passes its pipeline.</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84.75" customHeight="1" s="14">
      <c r="A22" s="13" t="inlineStr">
        <is>
          <t>SETUP-2</t>
        </is>
      </c>
      <c r="C22" s="13" t="inlineStr">
        <is>
          <t>Reproducible, signed, tagged releases so every deployed artifact traces back to an exact commit.</t>
        </is>
      </c>
      <c r="D22" s="13" t="inlineStr">
        <is>
          <t>A tagged release produces an identical Docker image digest on a repeat build for both the FastAPI service and the Payload app; releases are cryptographically signed; a release-notes template is used for every tag.</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84.75" customHeight="1" s="14">
      <c r="A23" s="13" t="inlineStr">
        <is>
          <t>SETUP-3</t>
        </is>
      </c>
      <c r="C23" s="13" t="inlineStr">
        <is>
          <t>EAS Build profiles configured for the monorepo so iOS, Android, and web builds all come from one Expo pipeline without dual-build overhead.</t>
        </is>
      </c>
      <c r="D23" s="13" t="inlineStr">
        <is>
          <t>eas.json defines development, preview, and production profiles for iOS, Android, and web export; a build triggered from CI produces an iOS simulator build, an Android APK, and a web bundle from the same commit.</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84.75" customHeight="1" s="14">
      <c r="A24" s="13" t="inlineStr">
        <is>
          <t>SETUP-4</t>
        </is>
      </c>
      <c r="C24" s="13" t="inlineStr">
        <is>
          <t>Infrastructure as code for the GCP environment so staging and production are provisioned identically and repeatably.</t>
        </is>
      </c>
      <c r="D24" s="13" t="inlineStr">
        <is>
          <t>Terraform (or equivalent) provisions Cloud Run services for both the FastAPI backend and the Payload admin app, a shared Cloud SQL instance, Cloud Storage buckets, and Secret Manager entries for both staging and production from the same module with environment-specific variables.</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84.75" customHeight="1" s="14">
      <c r="A25" s="13" t="inlineStr">
        <is>
          <t>SETUP-5</t>
        </is>
      </c>
      <c r="B25" s="34" t="n"/>
      <c r="C25" s="13" t="inlineStr">
        <is>
          <t>Cloud Build (or equivalent) wired to deploy on merge to main so every accepted change reaches staging without a manual step.</t>
        </is>
      </c>
      <c r="D25" s="13" t="inlineStr">
        <is>
          <t>A merge to main triggers build, test, and deploy to staging for the affected surface(s) only (FastAPI, Payload, or the Expo app); a failed pipeline blocks the deploy and notifies the team.</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84.75" customHeight="1" s="14">
      <c r="A26" s="5" t="inlineStr">
        <is>
          <t>MIG-1</t>
        </is>
      </c>
      <c r="B26" s="35" t="inlineStr">
        <is>
          <t>Data Migration Planning</t>
        </is>
      </c>
      <c r="C26" s="5" t="inlineStr">
        <is>
          <t>The existing database(s) referenced in the RFP audited so we know what, if anything, must be migrated before the new schema is frozen.</t>
        </is>
      </c>
      <c r="D26" s="5" t="inlineStr">
        <is>
          <t>Audit report documents the existing system(s), including the library-book database from RFP §3.4 item 15, its schema, row counts, and export capability; migration-path recommendation delivered.</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84.75" customHeight="1" s="14">
      <c r="A27" s="5" t="inlineStr">
        <is>
          <t>MIG-2</t>
        </is>
      </c>
      <c r="C27" s="5" t="inlineStr">
        <is>
          <t>A field-by-field data-mapping sign-off so we agree, in writing, which legacy fields map to the new schema and which are intentionally dropped, before any data moves.</t>
        </is>
      </c>
      <c r="D27" s="5" t="inlineStr">
        <is>
          <t>A mapping document lists every legacy field (member records, library catalog, any donation history found) against its destination in the new schema or an explicit 'not migrated' decision with a stated reason; JCA project committee signs off before the migration script is written.</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84.75" customHeight="1" s="14">
      <c r="A28" s="5" t="inlineStr">
        <is>
          <t>MIG-3</t>
        </is>
      </c>
      <c r="B28" s="34" t="n"/>
      <c r="C28" s="5" t="inlineStr">
        <is>
          <t>A rehearsed one-time ETL script with a dry run and a rollback plan so cutover from legacy data happens on a known-good schedule, not a live scramble.</t>
        </is>
      </c>
      <c r="D28" s="5" t="inlineStr">
        <is>
          <t>ETL script runs successfully against a copy of the legacy data into a staging database; a dry-run report shows row counts in vs. out per table with any rejected/unmapped rows flagged; a documented rollback plan restores the pre-migration state if the cutover run fails partway.</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84.75" customHeight="1" s="14">
      <c r="A29" s="13" t="inlineStr">
        <is>
          <t>PAYSETUP-1</t>
        </is>
      </c>
      <c r="B29" s="33" t="inlineStr">
        <is>
          <t>Payment Provider Setup</t>
        </is>
      </c>
      <c r="C29" s="13" t="inlineStr">
        <is>
          <t>A Stripe account created and verified under JCA's 501(c)(3) EIN so nonprofit processing rates and payout banking are confirmed before any payment feature is built.</t>
        </is>
      </c>
      <c r="D29" s="13" t="inlineStr">
        <is>
          <t>Stripe account is created under JCA's legal entity, EIN, and bank account; nonprofit discounted-rate status is applied and confirmed; account is fully verified (no outstanding Stripe requirements) before the Payments &amp; Billing sprint begins.</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84.75" customHeight="1" s="14">
      <c r="A30" s="13" t="inlineStr">
        <is>
          <t>PAYSETUP-2</t>
        </is>
      </c>
      <c r="C30" s="13" t="inlineStr">
        <is>
          <t>A PayPal Commerce Platform business account set up as the secondary payment rail so members who prefer PayPal are covered per the RFP requirement.</t>
        </is>
      </c>
      <c r="D30" s="13" t="inlineStr">
        <is>
          <t>PayPal Commerce Platform business account created under JCA's legal entity; account verified and linked to JCA's bank account; live API credentials available for integration.</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84.75" customHeight="1" s="14">
      <c r="A31" s="13" t="inlineStr">
        <is>
          <t>PAYSETUP-3</t>
        </is>
      </c>
      <c r="C31" s="13" t="inlineStr">
        <is>
          <t>Sandbox/test-mode API keys for both Stripe and PayPal provisioned into the credentials vault early so payment feature sprints aren't blocked waiting on account approval.</t>
        </is>
      </c>
      <c r="D31" s="13" t="inlineStr">
        <is>
          <t>Stripe and PayPal sandbox/test-mode keys are stored in Secret Manager and referenced from the credentials vault before the Payments &amp; Billing sprint starts; a test charge and a test PayPal payment both succeed against sandbox from a throwaway script.</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84.75" customHeight="1" s="14">
      <c r="A32" s="13" t="inlineStr">
        <is>
          <t>PAYSETUP-4</t>
        </is>
      </c>
      <c r="B32" s="34" t="n"/>
      <c r="C32" s="13" t="inlineStr">
        <is>
          <t>Webhook endpoints and payout bank details test-verified for both processors so real donations settle into JCA's bank account correctly from day one.</t>
        </is>
      </c>
      <c r="D32" s="13" t="inlineStr">
        <is>
          <t>Stripe and PayPal webhook endpoints are registered and receive a successful test event from each processor's dashboard; a test payout completes to JCA's actual bank account in sandbox/test mode where the processor supports it, confirming account and routing details are correct.</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84.75" customHeight="1" s="14">
      <c r="A33" s="5" t="inlineStr">
        <is>
          <t>STORE0-1</t>
        </is>
      </c>
      <c r="B33" s="35" t="inlineStr">
        <is>
          <t>App Delivery Platform Enrollment</t>
        </is>
      </c>
      <c r="C33" s="5" t="inlineStr">
        <is>
          <t>JCA enrolled in the Apple Developer Program as an organization account so we can distribute test builds via TestFlight and, later, submit to the App Store.</t>
        </is>
      </c>
      <c r="D33" s="5" t="inlineStr">
        <is>
          <t>Apple Developer Program organization enrollment completed under JCA's legal entity (D-U-N-S number verified); JCA is the account holder of record; vendor engineers are added as team members with the appropriate roles in App Store Connect.</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84.75" customHeight="1" s="14">
      <c r="A34" s="5" t="inlineStr">
        <is>
          <t>STORE0-2</t>
        </is>
      </c>
      <c r="C34" s="5" t="inlineStr">
        <is>
          <t>JCA enrolled in the Google Play Console as an organization developer account so we can use Play's testing tracks and, later, publish to the Play Store.</t>
        </is>
      </c>
      <c r="D34" s="5" t="inlineStr">
        <is>
          <t>Google Play Console organization account created and verified under JCA's legal entity; the one-time developer registration fee is paid from JCA's account; vendor engineers are added with scoped Play Console access.</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84.75" customHeight="1" s="14">
      <c r="A35" s="5" t="inlineStr">
        <is>
          <t>STORE0-3</t>
        </is>
      </c>
      <c r="C35" s="5" t="inlineStr">
        <is>
          <t>TestFlight internal testing enabled from Sprint 1 so every EAS build reaches the JCA committee's iPhones automatically, with no Apple review required.</t>
        </is>
      </c>
      <c r="D35" s="5" t="inlineStr">
        <is>
          <t>TestFlight internal testing group created in App Store Connect (up to 100 App Store Connect users, no Apple review needed); the JCA committee's Apple IDs are added as internal testers; a build distributed via EAS Submit appears on their devices without a manual upload step. External testing (public link, up to 10,000 testers, requires a lightweight Beta App Review) is documented as the path for the wider pre-launch beta in Store &amp; Launch Readiness.</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84.75" customHeight="1" s="14">
      <c r="A36" s="5" t="inlineStr">
        <is>
          <t>STORE0-4</t>
        </is>
      </c>
      <c r="C36" s="5" t="inlineStr">
        <is>
          <t>A Google Play Internal Testing track enabled from Sprint 1, with a Closed Testing track planned ahead of time, so Android builds reach testers immediately and we satisfy Google's mandatory pre-production testing requirement without a last-minute scramble.</t>
        </is>
      </c>
      <c r="D36" s="5" t="inlineStr">
        <is>
          <t>Play Console Internal Testing track live (up to 100 testers, available within minutes, no review) with the JCA committee added as testers; a build distributed via EAS Submit appears on the Internal Testing track without a manual upload step; the Closed Testing track is scoped and scheduled to open with at least 12 opted-in testers running for a continuous 14-day period, since new Play Console accounts must complete this before applying for full production access.</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84.75" customHeight="1" s="14">
      <c r="A37" s="5" t="inlineStr">
        <is>
          <t>STORE0-5</t>
        </is>
      </c>
      <c r="B37" s="34" t="n"/>
      <c r="C37" s="5" t="inlineStr">
        <is>
          <t>The EAS Build/Submit pipeline wired directly to TestFlight internal testing and the Play Internal Testing track so every merged build reaches testers without a manual upload step.</t>
        </is>
      </c>
      <c r="D37" s="5" t="inlineStr">
        <is>
          <t>A merge to the release branch triggers an EAS build and an automatic EAS Submit to both TestFlight internal testing and the Play Internal Testing track; the JCA committee receives both builds without any manual App Store Connect or Play Console interaction.</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84.75" customHeight="1" s="14">
      <c r="A38" s="13" t="inlineStr">
        <is>
          <t>AUTH-1</t>
        </is>
      </c>
      <c r="B38" s="33" t="inlineStr">
        <is>
          <t>Auth, Identity &amp; RBAC</t>
        </is>
      </c>
      <c r="C38" s="13" t="inlineStr">
        <is>
          <t>Sign in with Apple, Google, or email/password on any surface so members have one identity everywhere, per RFP §3.1.</t>
        </is>
      </c>
      <c r="D38" s="13" t="inlineStr">
        <is>
          <t>All three sign-in methods work on iOS, Android, and Web from the single Expo app; signing in on one surface and then opening another surface recognizes the same account; the FastAPI backend issues and validates the session/JWT tokens for all three providers.</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84.75" customHeight="1" s="14">
      <c r="A39" s="13" t="inlineStr">
        <is>
          <t>AUTH-2</t>
        </is>
      </c>
      <c r="C39" s="13" t="inlineStr">
        <is>
          <t>Registration to capture member-ID linkage, family-record initiation, and gotra so the account starts connected to the family and tradition.</t>
        </is>
      </c>
      <c r="D39" s="13" t="inlineStr">
        <is>
          <t>Registration flow collects member ID (or issues one), initiates a family record with the registrant as primary, and captures gotra and tradition; all three fields visible on the resulting Profile screen.</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84.75" customHeight="1" s="14">
      <c r="A40" s="13" t="inlineStr">
        <is>
          <t>AUTH-3</t>
        </is>
      </c>
      <c r="C40" s="13" t="inlineStr">
        <is>
          <t>An SSO option for admin sign-in so JCA can use its provider of choice for staff authentication, per RFP §3.1.</t>
        </is>
      </c>
      <c r="D40" s="13" t="inlineStr">
        <is>
          <t>SAML or OIDC SSO configurable from a Payload admin settings screen, implemented as a custom Payload authentication strategy (Payload does not ship SSO out of the box); an admin can sign in via the configured SSO provider in addition to Payload's built-in email/password.</t>
        </is>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84.75" customHeight="1" s="14">
      <c r="A41" s="13" t="inlineStr">
        <is>
          <t>AUTH-4</t>
        </is>
      </c>
      <c r="C41" s="13" t="inlineStr">
        <is>
          <t>MFA mandatory at first login so the admin utility meets the security posture since Payload does not enforce MFA by default.</t>
        </is>
      </c>
      <c r="D41" s="13" t="inlineStr">
        <is>
          <t>A custom Payload authentication hook blocks completion of first login until an admin enrolls an MFA factor (TOTP at minimum); MFA is enforced on every subsequent login; no bypass path exists for any admin role including Super-Admin.</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84.75" customHeight="1" s="14">
      <c r="A42" s="13" t="inlineStr">
        <is>
          <t>AUTH-5</t>
        </is>
      </c>
      <c r="C42" s="13" t="inlineStr">
        <is>
          <t>The option to enable MFA on their account so members can add security if they choose, without it being forced.</t>
        </is>
      </c>
      <c r="D42" s="13" t="inlineStr">
        <is>
          <t>MFA enrollment is available in Profile &gt; Settings for member accounts; enabling it does not disrupt Sign in with Apple/Google flows; disabling requires re-authentication.</t>
        </is>
      </c>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84.75" customHeight="1" s="14">
      <c r="A43" s="13" t="inlineStr">
        <is>
          <t>AUTH-6</t>
        </is>
      </c>
      <c r="C43" s="13" t="inlineStr">
        <is>
          <t>Define roles and per-section permission overrides without an engineer redeploying code, so access matches RFP §3.1's minimum seven-role set plus any additional roles we need.</t>
        </is>
      </c>
      <c r="D43" s="13" t="inlineStr">
        <is>
          <t>A Roles collection in Payload, read by a generic access-control layer at runtime, lets a Super-Admin create/edit roles and assign per-section read/write/approve/money permissions — Payload's default access functions are static code, so this dynamic layer is the custom-built piece on top of them; a 'what can this role see and do' preview is available; the Treasurer/Pathshala-coordinator/Communications-chair scenarios from RFP §4.4.1 are each configurable without code changes; member-facing roles (Family Primary, Pathshala Parent, Committee Member) are modeled the same way inside the FastAPI service for app-side permissions.</t>
        </is>
      </c>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84.75" customHeight="1" s="14">
      <c r="A44" s="13" t="inlineStr">
        <is>
          <t>AUTH-7</t>
        </is>
      </c>
      <c r="C44" s="13" t="inlineStr">
        <is>
          <t>Tokens stored in the platform keychain/keystore/HttpOnly cookie so credentials never sit in insecure storage, per RFP §5.1.</t>
        </is>
      </c>
      <c r="D44" s="13" t="inlineStr">
        <is>
          <t>The Expo app on iOS stores tokens in Keychain with the strictest applicable accessibility class; on Android it uses Keystore-backed EncryptedSharedPreferences; the Expo app's web build uses HttpOnly, Secure, SameSite=Lax cookies with CSRF tokens on state-changing requests.</t>
        </is>
      </c>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84.75" customHeight="1" s="14">
      <c r="A45" s="13" t="inlineStr">
        <is>
          <t>AUTH-8</t>
        </is>
      </c>
      <c r="B45" s="34" t="n"/>
      <c r="C45" s="13" t="inlineStr">
        <is>
          <t>A first-launch Splash/Welcome screen establishing Jain identity before any utility, so the first impression of the app is reverent, not transactional, per RFP §4.1.2 and the walkthrough's slide 4.</t>
        </is>
      </c>
      <c r="D45" s="13" t="inlineStr">
        <is>
          <t>Splash shows the JCA logo on an ivory medallion, the Navkar Mantra in a serif face, the ratnatraya ornament, and the five-shrine context (Mahavir, Adinath, Upashray, Shrimad, Dadawadi), with a single Get Started CTA; shown automatically on first open and never again unless the user signs out; the web build of the same Expo app serves the public homepage with a Sign In CTA as its equivalent entry point (no separate splash screen on web).</t>
        </is>
      </c>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8">
    <mergeCell ref="A1:D1"/>
    <mergeCell ref="B5:B8"/>
    <mergeCell ref="B33:B37"/>
    <mergeCell ref="B26:B28"/>
    <mergeCell ref="B9:B25"/>
    <mergeCell ref="B29:B32"/>
    <mergeCell ref="A2:D2"/>
    <mergeCell ref="B38:B45"/>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14" min="1" max="1"/>
    <col width="30" customWidth="1" style="14" min="2" max="2"/>
    <col width="52" customWidth="1" style="14" min="3" max="3"/>
    <col width="66" customWidth="1" style="14" min="4" max="4"/>
    <col width="8.710000000000001" customWidth="1" style="14" min="5" max="6"/>
  </cols>
  <sheetData>
    <row r="1">
      <c r="A1" s="1" t="inlineStr">
        <is>
          <t>Phase 1 — v1.0 (initial launch)</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14">
      <c r="A2" s="3" t="inlineStr">
        <is>
          <t>Every P1 feature live on iOS, Android, Web, and Admin. App Store + Play Store approved. Public web launched. RFP §4.1.</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ID</t>
        </is>
      </c>
      <c r="B4" s="4" t="inlineStr">
        <is>
          <t>Module</t>
        </is>
      </c>
      <c r="C4" s="4" t="inlineStr">
        <is>
          <t>User Story</t>
        </is>
      </c>
      <c r="D4" s="4" t="inlineStr">
        <is>
          <t>Description</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ht="84.75" customHeight="1" s="14">
      <c r="A5" s="5" t="inlineStr">
        <is>
          <t>HP-1</t>
        </is>
      </c>
      <c r="B5" s="35" t="inlineStr">
        <is>
          <t>Home &amp; Panchang</t>
        </is>
      </c>
      <c r="C5" s="5" t="inlineStr">
        <is>
          <t>An eight-section Home dashboard so members have a single daily-touch landing page with everything they check each morning.</t>
        </is>
      </c>
      <c r="D5" s="5" t="inlineStr">
        <is>
          <t>Home renders greeting, Panchang card, Today's Sponsor, Thought of the Day, Daily Quiz, Quick Actions, Center Hours, and Upcoming Events + Feed preview, matching the walkthrough's slide 3; pull-to-refresh updates Panchang and feed.</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ht="84.75" customHeight="1" s="14">
      <c r="A6" s="5" t="inlineStr">
        <is>
          <t>HP-2</t>
        </is>
      </c>
      <c r="C6" s="5" t="inlineStr">
        <is>
          <t>The daily Jain Panchang (tithi, parva indicator, sunrise, sunset, pratikraman time) cached locally so members can check it even without a connection.</t>
        </is>
      </c>
      <c r="D6" s="5" t="inlineStr">
        <is>
          <t>Panchang card shows all five data points; mobile caches the last-fetched Panchang for offline display; web shows the same data without requiring sign-in per RFP §4.1.2.</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ht="84.75" customHeight="1" s="14">
      <c r="A7" s="5" t="inlineStr">
        <is>
          <t>HP-3</t>
        </is>
      </c>
      <c r="C7" s="5" t="inlineStr">
        <is>
          <t>Configure the Panchang data source and set manual overrides so incorrect calculated data can be corrected without a deploy.</t>
        </is>
      </c>
      <c r="D7" s="5" t="inlineStr">
        <is>
          <t>Admin Religious Calendar section exposes a Panchang data-source configuration and a manual-override field per date; overrides take effect immediately on all surfaces.</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ht="84.75" customHeight="1" s="14">
      <c r="A8" s="5" t="inlineStr">
        <is>
          <t>HP-4</t>
        </is>
      </c>
      <c r="C8" s="5" t="inlineStr">
        <is>
          <t>A Daily Quiz with a streak counter so members have a reason to open the app every day.</t>
        </is>
      </c>
      <c r="D8" s="5" t="inlineStr">
        <is>
          <t>One quiz question served per day; answering correctly/incorrectly is recorded once per user per day; a visible streak counter increments on consecutive correct days and resets on a missed day.</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ht="84.75" customHeight="1" s="14">
      <c r="A9" s="5" t="inlineStr">
        <is>
          <t>HP-5</t>
        </is>
      </c>
      <c r="C9" s="5" t="inlineStr">
        <is>
          <t>Author Thought of the Day content and manage the quiz question bank so Home stays fresh without engineering involvement.</t>
        </is>
      </c>
      <c r="D9" s="5" t="inlineStr">
        <is>
          <t>Content section lets an admin schedule a Thought of the Day per date and add/edit/retire quiz questions with a correct-answer flag; scheduled publish works for both content types.</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ht="84.75" customHeight="1" s="14">
      <c r="A10" s="5" t="inlineStr">
        <is>
          <t>HP-6</t>
        </is>
      </c>
      <c r="B10" s="34" t="n"/>
      <c r="C10" s="5" t="inlineStr">
        <is>
          <t>Quick Actions and Center Hours with an Open-Now indicator so members can act on the most common tasks and know if the center is open right now.</t>
        </is>
      </c>
      <c r="D10" s="5" t="inlineStr">
        <is>
          <t>Quick Actions link to Darshan, Donate, Calendar, Gallery, and Volunteer; Center Hours shows today's hours with a live Open/Closed indicator based on the current time.</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84.75" customHeight="1" s="14">
      <c r="A11" s="13" t="inlineStr">
        <is>
          <t>CAL-1</t>
        </is>
      </c>
      <c r="B11" s="33" t="inlineStr">
        <is>
          <t>Calendar &amp; Events</t>
        </is>
      </c>
      <c r="C11" s="13" t="inlineStr">
        <is>
          <t>A month-grid calendar with festivals, parva days, and JCA events marked so members can see everything happening at a glance.</t>
        </is>
      </c>
      <c r="D11" s="13" t="inlineStr">
        <is>
          <t>Month grid shows saffron-replaced (brand-compliant) markers for festival/parva days and separate markers for JCA event days per the walkthrough's slide 8; today is highlighted; tapping a day shows that date's events; swipe changes month.</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84.75" customHeight="1" s="14">
      <c r="A12" s="13" t="inlineStr">
        <is>
          <t>CAL-2</t>
        </is>
      </c>
      <c r="C12" s="13" t="inlineStr">
        <is>
          <t>An event detail view with full schedule, location, RSVP, and calendar export so members can commit to attending and add it to their phone.</t>
        </is>
      </c>
      <c r="D12" s="13" t="inlineStr">
        <is>
          <t>Event detail shows hero image, full multi-block schedule, shrine/location with map preview, RSVP button with live attendee count, sponsor-this-event link, and an add-to-calendar action per the walkthrough's slide 22.</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84.75" customHeight="1" s="14">
      <c r="A13" s="13" t="inlineStr">
        <is>
          <t>CAL-3</t>
        </is>
      </c>
      <c r="C13" s="13" t="inlineStr">
        <is>
          <t>RSVP to an event and see a waitlist state if it's full so members know where they stand.</t>
        </is>
      </c>
      <c r="D13" s="13" t="inlineStr">
        <is>
          <t>RSVP button shows Confirmed/Waitlisted/Full based on the RSVP cap; a waitlisted member is promoted automatically if a confirmed spot opens; cancellation frees the spot immediately.</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84.75" customHeight="1" s="14">
      <c r="A14" s="13" t="inlineStr">
        <is>
          <t>CAL-4</t>
        </is>
      </c>
      <c r="C14" s="13" t="inlineStr">
        <is>
          <t>Full event lifecycle management (create, edit, publish, retire) with categories, RSVP cap, and sponsorship tiers so admins run every event through one tool.</t>
        </is>
      </c>
      <c r="D14" s="13" t="inlineStr">
        <is>
          <t>Event editor supports hero media, multi-block schedule, location, category (Religious/Cultural/Educational), RSVP cap, waitlist, sponsorship tiers, and linking a donation cause; publish/retire states are explicit and reversible within the soft-delete window.</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84.75" customHeight="1" s="14">
      <c r="A15" s="13" t="inlineStr">
        <is>
          <t>CAL-5</t>
        </is>
      </c>
      <c r="C15" s="13" t="inlineStr">
        <is>
          <t>A calendar conflict view across events, pooja, abhishek, and facility bookings so double-bookings are caught before publish.</t>
        </is>
      </c>
      <c r="D15" s="13" t="inlineStr">
        <is>
          <t>Conflict view overlays events, religious-calendar slots, and facility bookings on one calendar; a scheduling conflict is visually flagged before an admin can publish the conflicting item.</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84.75" customHeight="1" s="14">
      <c r="A16" s="13" t="inlineStr">
        <is>
          <t>CAL-6</t>
        </is>
      </c>
      <c r="B16" s="34" t="n"/>
      <c r="C16" s="13" t="inlineStr">
        <is>
          <t>Event category management (Religious/Cultural/Educational) so Cultural &amp; Religious events surface correctly as filterable categories per RFP §4.1.2.</t>
        </is>
      </c>
      <c r="D16" s="13" t="inlineStr">
        <is>
          <t>Category CRUD available in admin; member-facing Calendar supports filtering by category; Cultural events (Garba, plays, music programs) correctly tag as Cultural.</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84.75" customHeight="1" s="14">
      <c r="A17" s="5" t="inlineStr">
        <is>
          <t>CN-1</t>
        </is>
      </c>
      <c r="B17" s="35" t="inlineStr">
        <is>
          <t>Content &amp; Newsletter</t>
        </is>
      </c>
      <c r="C17" s="5" t="inlineStr">
        <is>
          <t>Author and schedule announcements that push to all members and pin in the feed so time-sensitive news reaches everyone.</t>
        </is>
      </c>
      <c r="D17" s="5" t="inlineStr">
        <is>
          <t>Announcement editor supports send-now or schedule-for-later; on publish, a push notification fans out and the announcement auto-pins in the Community Feed; preview renders as it will appear on iOS, Android, and web before publish, per RFP §4.4.1.</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84.75" customHeight="1" s="14">
      <c r="A18" s="5" t="inlineStr">
        <is>
          <t>CN-2</t>
        </is>
      </c>
      <c r="C18" s="5" t="inlineStr">
        <is>
          <t>About Us, Contact, and Help pages so members can learn JCA's history and get in touch.</t>
        </is>
      </c>
      <c r="D18" s="5" t="inlineStr">
        <is>
          <t>About Us shows JCA history content; Contact shows address, phone, email, directions, hours, and social links; Help combines FAQ with a contact form that routes submissions to admin.</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84.75" customHeight="1" s="14">
      <c r="A19" s="5" t="inlineStr">
        <is>
          <t>CN-3</t>
        </is>
      </c>
      <c r="C19" s="5" t="inlineStr">
        <is>
          <t>Manage the FAQ taxonomy and route contact-form submissions so Help content stays organized and no inquiry is lost.</t>
        </is>
      </c>
      <c r="D19" s="5" t="inlineStr">
        <is>
          <t>FAQ entries are categorized and orderable; contact-form submissions appear in an admin queue with status tracking (new/responded/closed).</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84.75" customHeight="1" s="14">
      <c r="A20" s="5" t="inlineStr">
        <is>
          <t>CN-4</t>
        </is>
      </c>
      <c r="C20" s="5" t="inlineStr">
        <is>
          <t>A public Board of Trustees and Executive Committee directory so members know who governs JCA.</t>
        </is>
      </c>
      <c r="D20" s="5" t="inlineStr">
        <is>
          <t>Directory shows name, role, term, opt-in photo, and bio for each member; photo display respects each individual's opt-in flag.</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84.75" customHeight="1" s="14">
      <c r="A21" s="5" t="inlineStr">
        <is>
          <t>CN-5</t>
        </is>
      </c>
      <c r="C21" s="5" t="inlineStr">
        <is>
          <t>A newsletter archive with the current issue and back issues so members can catch up on anything they missed.</t>
        </is>
      </c>
      <c r="D21" s="5" t="inlineStr">
        <is>
          <t>Current issue displayed prominently; archive lists back issues chronologically; share and save actions work on mobile and web.</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84.75" customHeight="1" s="14">
      <c r="A22" s="5" t="inlineStr">
        <is>
          <t>CN-6</t>
        </is>
      </c>
      <c r="B22" s="34" t="n"/>
      <c r="C22" s="5" t="inlineStr">
        <is>
          <t>Subscribe to JCA's mailing list from the public web so members can stay informed without creating a full account.</t>
        </is>
      </c>
      <c r="D22" s="5" t="inlineStr">
        <is>
          <t>Public opt-in form captures email with double opt-in confirmation; subscription integrates with JCA's existing email-marketing tool; admin can view and export the subscriber list.</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84.75" customHeight="1" s="14">
      <c r="A23" s="13" t="inlineStr">
        <is>
          <t>PAY-1</t>
        </is>
      </c>
      <c r="B23" s="33" t="inlineStr">
        <is>
          <t>Payments &amp; Billing Infrastructure</t>
        </is>
      </c>
      <c r="C23" s="13" t="inlineStr">
        <is>
          <t>Stripe integrated with Apple Pay, Google Pay, card, and ACH so every donation/dues/sponsorship flow has a working payment rail.</t>
        </is>
      </c>
      <c r="D23" s="13" t="inlineStr">
        <is>
          <t>Stripe Payment Element live on web; Stripe React Native SDK live on iOS/Android with native Apple Pay and Google Pay sheets; a test charge completes end-to-end and a payment_transaction row is written.</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84.75" customHeight="1" s="14">
      <c r="A24" s="13" t="inlineStr">
        <is>
          <t>PAY-2</t>
        </is>
      </c>
      <c r="C24" s="13" t="inlineStr">
        <is>
          <t>PayPal Commerce Platform integrated as a second payment rail so the RFP's explicit PayPal requirement is satisfied alongside Stripe.</t>
        </is>
      </c>
      <c r="D24" s="13" t="inlineStr">
        <is>
          <t>PayPal button/flow available on all donation, dues, and sponsorship checkout screens as an alternative to Stripe; a completed PayPal payment writes the same payment_transaction shape as a Stripe payment.</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84.75" customHeight="1" s="14">
      <c r="A25" s="13" t="inlineStr">
        <is>
          <t>PAY-3</t>
        </is>
      </c>
      <c r="C25" s="13" t="inlineStr">
        <is>
          <t>An explicit confirmation screen with itemized lines before any charge so members always know exactly what they're paying for, per RFP §2.2.</t>
        </is>
      </c>
      <c r="D25" s="13" t="inlineStr">
        <is>
          <t>Every payment flow (donation, dues, sponsorship, subscription, facility deposit) routes through a shared confirmation screen with itemized amount, cause/purpose, and payment method before the charge fires; no charge occurs without this screen.</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84.75" customHeight="1" s="14">
      <c r="A26" s="13" t="inlineStr">
        <is>
          <t>PAY-4</t>
        </is>
      </c>
      <c r="C26" s="13" t="inlineStr">
        <is>
          <t>Every payment operation to be idempotent so a network retry or double-tap never double-charges a member.</t>
        </is>
      </c>
      <c r="D26" s="13" t="inlineStr">
        <is>
          <t>Every charge request carries a client-generated idempotency key; a repeated request with the same key returns the original result without creating a second transaction; verified with an automated retry test.</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84.75" customHeight="1" s="14">
      <c r="A27" s="13" t="inlineStr">
        <is>
          <t>PAY-5</t>
        </is>
      </c>
      <c r="C27" s="13" t="inlineStr">
        <is>
          <t>A downloadable PDF tax receipt for every donation and a consolidated year-end statement so 501(c)(3) giving is documented, per RFP §2.2.</t>
        </is>
      </c>
      <c r="D27" s="13" t="inlineStr">
        <is>
          <t>Every completed donation generates a PDF receipt with JCA's EIN and 'no goods or services' language within seconds of payment; a year-end statement PDF aggregates all giving for a tax year and is downloadable on demand.</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84.75" customHeight="1" s="14">
      <c r="A28" s="13" t="inlineStr">
        <is>
          <t>PAY-6</t>
        </is>
      </c>
      <c r="B28" s="34" t="n"/>
      <c r="C28" s="13" t="inlineStr">
        <is>
          <t>Record off-platform donations (cash, check, in-kind) and issue refunds, both gated by the two-person rule, so financial operations stay auditable.</t>
        </is>
      </c>
      <c r="D28" s="13" t="inlineStr">
        <is>
          <t>Manual donation-entry form generates a receipt identically to an on-platform donation; a refund action requires a second admin's confirmation with their own credentials before it commits; both actions write audit-log entries naming both actors.</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84.75" customHeight="1" s="14">
      <c r="A29" s="5" t="inlineStr">
        <is>
          <t>ADM-1</t>
        </is>
      </c>
      <c r="B29" s="35" t="inlineStr">
        <is>
          <t>Admin — Shell, Dashboards &amp; Members</t>
        </is>
      </c>
      <c r="C29" s="5" t="inlineStr">
        <is>
          <t>All 20 RFP admin sections modeled as Payload collections/globals with sensible sidebar grouping, so admins get a predictable navigation shell without a bespoke admin app built from scratch, per RFP §3.4.</t>
        </is>
      </c>
      <c r="D29" s="5" t="inlineStr">
        <is>
          <t>All 20 admin sections exist as Payload collections or globals, grouped in Payload's built-in sidebar in the RFP's specified order (stubs where a section's feature isn't built yet); active section is visually indicated using the re-themed Payload admin from DES-10; no custom shell/routing code is written since Payload generates this from the collection config.</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84.75" customHeight="1" s="14">
      <c r="A30" s="5" t="inlineStr">
        <is>
          <t>ADM-2</t>
        </is>
      </c>
      <c r="C30" s="5" t="inlineStr">
        <is>
          <t>Payload's built-in search extended to jump straight to a member's Member 360 profile, so admins can find anything without hunting through the sidebar, per RFP §4.4.1.</t>
        </is>
      </c>
      <c r="D30" s="5" t="inlineStr">
        <is>
          <t>Payload's built-in global search/jump-to indexes members by name and links a result directly to the custom Member 360 view (ADM-4), not just the raw Members collection row; keyboard-only operation works end-to-end; no separate command-palette component is built since Payload ships one.</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84.75" customHeight="1" s="14">
      <c r="A31" s="5" t="inlineStr">
        <is>
          <t>ADM-3</t>
        </is>
      </c>
      <c r="C31" s="5" t="inlineStr">
        <is>
          <t>A custom Operations Dashboard home page showing moderation queue depth, donation totals, upcoming events, dues-aging alerts, member growth, and recent audit entries, per RFP §4.5.4.</t>
        </is>
      </c>
      <c r="D31" s="5" t="inlineStr">
        <is>
          <t>Dashboard renders all six specified widgets with live data, built as a custom Payload admin view (this aggregate cross-collection view is not something a generic Payload collection screen can express); each widget links through to its full section; loads in under 2 seconds on staging with representative seed data.</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84.75" customHeight="1" s="14">
      <c r="A32" s="5" t="inlineStr">
        <is>
          <t>ADM-4</t>
        </is>
      </c>
      <c r="C32" s="5" t="inlineStr">
        <is>
          <t>A Member 360 view so a member's contact info, family, membership, donations, dues, volunteer hours, Pathshala enrollment, RSVPs, posts, and sign-in audit are all one click away, per RFP §4.5.1.</t>
        </is>
      </c>
      <c r="D32" s="5" t="inlineStr">
        <is>
          <t>Member 360 is a tabbed single profile page, built as a custom Payload admin view that aggregates data from both Payload collections and the FastAPI service, covering all nine listed data categories; every tab loads without navigating away from the profile; used as the destination for Members &amp; Families, Support, and Moderation sections.</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84.75" customHeight="1" s="14">
      <c r="A33" s="5" t="inlineStr">
        <is>
          <t>ADM-5</t>
        </is>
      </c>
      <c r="C33" s="5" t="inlineStr">
        <is>
          <t>Bulk-import members via CSV so onboarding JCA's existing congregation doesn't require one-by-one entry, per RFP §4.4.1.</t>
        </is>
      </c>
      <c r="D33" s="5" t="inlineStr">
        <is>
          <t>A custom Payload admin action (Payload has no built-in generic CSV import) validates required columns, previews a diff before commit, reports per-row errors without failing the whole batch, and writes one audit-log entry summarizing the import.</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84.75" customHeight="1" s="14">
      <c r="A34" s="5" t="inlineStr">
        <is>
          <t>ADM-6</t>
        </is>
      </c>
      <c r="C34" s="5" t="inlineStr">
        <is>
          <t>Rely on Payload's built-in document locking and versioning so two admins editing the same record never silently overwrite each other, per RFP §4.4.1.</t>
        </is>
      </c>
      <c r="D34" s="5" t="inlineStr">
        <is>
          <t>Payload's built-in document-locking shows 'X is already editing this document' when a second admin opens a record concurrently, and its versioning prevents a stale save from silently overwriting changes — verified against the RFP's concurrent-edit requirement rather than built from scratch; any gap found (e.g. a moderation-queue-specific presence indicator Payload's per-document lock doesn't cover) is scoped as a small custom addition, not a full presence system.</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84.75" customHeight="1" s="14">
      <c r="A35" s="5" t="inlineStr">
        <is>
          <t>ADM-7</t>
        </is>
      </c>
      <c r="B35" s="34" t="n"/>
      <c r="C35" s="5" t="inlineStr">
        <is>
          <t>Resolve sign-in support tickets and trigger a password reset for a member so admins can help someone locked out without engineering involvement.</t>
        </is>
      </c>
      <c r="D35" s="5" t="inlineStr">
        <is>
          <t>From the Member 360 view, an admin can view a member's sign-in audit trail and trigger a password-reset email or unlock an account via a custom action that calls the FastAPI auth service; an audit-log entry is recorded for the action.</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84.75" customHeight="1" s="14">
      <c r="A36" s="13" t="inlineStr">
        <is>
          <t>DON-1</t>
        </is>
      </c>
      <c r="B36" s="33" t="inlineStr">
        <is>
          <t>Donations &amp; Causes</t>
        </is>
      </c>
      <c r="C36" s="13" t="inlineStr">
        <is>
          <t>A Causes list with progress bars and quick-give amount chips so giving takes one tap, per the walkthrough's slide 10.</t>
        </is>
      </c>
      <c r="D36" s="13" t="inlineStr">
        <is>
          <t>Causes list shows active causes with progress bar, raised-vs-goal, quick-give chips ($51/$108/$251/$501/$1008/custom), a recurring toggle, and the 501(c)(3) badge; donation is available to unauthenticated visitors on web per RFP §3.4.</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84.75" customHeight="1" s="14">
      <c r="A37" s="13" t="inlineStr">
        <is>
          <t>DON-2</t>
        </is>
      </c>
      <c r="C37" s="13" t="inlineStr">
        <is>
          <t>An anonymous toggle and memorial/honoree text field on any donation so members can give privately or in someone's memory, per RFP §2.2 privacy-by-default.</t>
        </is>
      </c>
      <c r="D37" s="13" t="inlineStr">
        <is>
          <t>Anonymous toggle hides the donor's name from any public recognition surface (Sponsors of the Month, feed); memorial/honoree free-text field appears on the donation form and prints on the receipt when filled.</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84.75" customHeight="1" s="14">
      <c r="A38" s="13" t="inlineStr">
        <is>
          <t>DON-3</t>
        </is>
      </c>
      <c r="C38" s="13" t="inlineStr">
        <is>
          <t>Causes tied to upcoming events to automatically rise to the top of the list with a countdown, so event-based giving is prioritized, per RFP §4.1.2.</t>
        </is>
      </c>
      <c r="D38" s="13" t="inlineStr">
        <is>
          <t>A cause linked to an event shows a countdown to the event date and an event-tied goal-progress bar; linked causes sort above unlinked causes as the event date approaches, per a configurable prioritization window.</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84.75" customHeight="1" s="14">
      <c r="A39" s="13" t="inlineStr">
        <is>
          <t>DON-4</t>
        </is>
      </c>
      <c r="C39" s="13" t="inlineStr">
        <is>
          <t>Jeev Daya as a permanent, always-visible cause dedicated to animal welfare, per RFP §4.1.2.</t>
        </is>
      </c>
      <c r="D39" s="13" t="inlineStr">
        <is>
          <t>Jeev Daya appears in the Causes list at all times regardless of event proximity; admin can link partner-organization information to the cause.</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84.75" customHeight="1" s="14">
      <c r="A40" s="13" t="inlineStr">
        <is>
          <t>DON-5</t>
        </is>
      </c>
      <c r="C40" s="13" t="inlineStr">
        <is>
          <t>Complete donation history with per-donation receipts and a year-end statement, grouped by year, per the walkthrough's slide 15.</t>
        </is>
      </c>
      <c r="D40" s="13" t="inlineStr">
        <is>
          <t>History screen shows a YTD total hero card, year-end statement download, year-pill tabs (current/previous/all years), and monthly grouping with a per-row receipt download.</t>
        </is>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84.75" customHeight="1" s="14">
      <c r="A41" s="13" t="inlineStr">
        <is>
          <t>DON-6</t>
        </is>
      </c>
      <c r="B41" s="34" t="n"/>
      <c r="C41" s="13" t="inlineStr">
        <is>
          <t>Create, edit, prioritize, and retire causes, and tie causes to events, so the giving catalog stays current.</t>
        </is>
      </c>
      <c r="D41" s="13" t="inlineStr">
        <is>
          <t>Cause CRUD supports goal amount, description, event linkage, and manual priority override; retiring a cause removes it from member-facing lists while preserving its donation history.</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84.75" customHeight="1" s="14">
      <c r="A42" s="5" t="inlineStr">
        <is>
          <t>SUB-1</t>
        </is>
      </c>
      <c r="B42" s="35" t="inlineStr">
        <is>
          <t>Recurring Giving &amp; Subscriptions</t>
        </is>
      </c>
      <c r="C42" s="5" t="inlineStr">
        <is>
          <t>Templated recurring-giving plans (Daily Aarti $11, Bhojanshala $108/mo, Paryushan $2,508/yr) so members can set up giving on autopilot in one tap, per the walkthrough's slide 16.</t>
        </is>
      </c>
      <c r="D42" s="5" t="inlineStr">
        <is>
          <t>Set Up New tab shows the three templates plus a custom-amount/frequency option; selecting a template pre-fills amount and frequency and routes to the payment confirmation screen.</t>
        </is>
      </c>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84.75" customHeight="1" s="14">
      <c r="A43" s="5" t="inlineStr">
        <is>
          <t>SUB-2</t>
        </is>
      </c>
      <c r="C43" s="5" t="inlineStr">
        <is>
          <t>Pause, edit the amount, or cancel any recurring subscription in two interactions or fewer, per RFP §2.2's financial-caution principle.</t>
        </is>
      </c>
      <c r="D43" s="5" t="inlineStr">
        <is>
          <t>My Subscriptions tab lists active plans with next-charge date and lifetime total; Pause and Edit-Amount actions are one tap plus one confirmation; Cancel is the same two-interaction limit; no silent auto-renewal changes occur.</t>
        </is>
      </c>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84.75" customHeight="1" s="14">
      <c r="A44" s="5" t="inlineStr">
        <is>
          <t>SUB-3</t>
        </is>
      </c>
      <c r="C44" s="5" t="inlineStr">
        <is>
          <t>A one-time gift to offer a 'Make monthly' upgrade path so converting to recurring giving doesn't require starting over.</t>
        </is>
      </c>
      <c r="D44" s="5" t="inlineStr">
        <is>
          <t>The Thank You confirmation screen after a one-time gift offers a 'Make monthly' CTA that pre-fills a new recurring subscription with the same amount and cause.</t>
        </is>
      </c>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84.75" customHeight="1" s="14">
      <c r="A45" s="5" t="inlineStr">
        <is>
          <t>SUB-4</t>
        </is>
      </c>
      <c r="C45" s="5" t="inlineStr">
        <is>
          <t>Failed-charge recovery (dunning) for recurring subscriptions so a declined card doesn't silently lapse a member's giving.</t>
        </is>
      </c>
      <c r="D45" s="5" t="inlineStr">
        <is>
          <t>A failed recurring charge triggers a retry schedule and a notification to the member with a link to update their payment method; after a configurable number of failures the subscription is paused, not silently cancelled.</t>
        </is>
      </c>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84.75" customHeight="1" s="14">
      <c r="A46" s="5" t="inlineStr">
        <is>
          <t>SUB-5</t>
        </is>
      </c>
      <c r="B46" s="34" t="n"/>
      <c r="C46" s="5" t="inlineStr">
        <is>
          <t>View, pause, edit, or cancel any member's recurring subscription on the member's behalf, gated by the two-person rule for cancel.</t>
        </is>
      </c>
      <c r="D46" s="5" t="inlineStr">
        <is>
          <t>Subscription Manager component (RFP §4.5.1) is available from Donations &amp; Causes and from Member 360; cancel-on-behalf requires second-admin confirmation; pause and edit-amount do not.</t>
        </is>
      </c>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84.75" customHeight="1" s="14">
      <c r="A47" s="13" t="inlineStr">
        <is>
          <t>MFD-1</t>
        </is>
      </c>
      <c r="B47" s="33" t="inlineStr">
        <is>
          <t>Membership, Family &amp; Dues</t>
        </is>
      </c>
      <c r="C47" s="13" t="inlineStr">
        <is>
          <t>A family-member list with relationship, DOB, and gotra so the whole family's record lives in one place, per the walkthrough's slide 24.</t>
        </is>
      </c>
      <c r="D47" s="13" t="inlineStr">
        <is>
          <t>Family cards show Self, Spouse, Children (with Pathshala badge where enrolled), and Parents, each with avatar, relationship, DOB, and gotra/anniversary; + Add Family Member creates a new family_member record.</t>
        </is>
      </c>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84.75" customHeight="1" s="14">
      <c r="A48" s="13" t="inlineStr">
        <is>
          <t>MFD-2</t>
        </is>
      </c>
      <c r="C48" s="13" t="inlineStr">
        <is>
          <t>A Pending Dues card with itemized lines and a Pay All Now button, always shown when money is owed, per RFP §4.1.2.</t>
        </is>
      </c>
      <c r="D48" s="13" t="inlineStr">
        <is>
          <t>Pending Dues card appears on Home and Family whenever the family's total due is greater than zero, itemizing membership, MJK pass, and Pathshala fee lines; Pay All Now routes through the shared payment-confirmation screen for the full itemized total.</t>
        </is>
      </c>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84.75" customHeight="1" s="14">
      <c r="A49" s="13" t="inlineStr">
        <is>
          <t>MFD-3</t>
        </is>
      </c>
      <c r="C49" s="13" t="inlineStr">
        <is>
          <t>Membership tier, since-date, and renewal date with a renewal payment flow so members never lapse without knowing.</t>
        </is>
      </c>
      <c r="D49" s="13" t="inlineStr">
        <is>
          <t>Profile shows tier, since-date, and renewal date; a Manage button opens the renewal payment flow when renewal is due or upcoming; lifetime-tier members see a distinct, non-renewing state.</t>
        </is>
      </c>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84.75" customHeight="1" s="14">
      <c r="A50" s="13" t="inlineStr">
        <is>
          <t>MFD-4</t>
        </is>
      </c>
      <c r="C50" s="13" t="inlineStr">
        <is>
          <t>A family record manager to add, remove, and merge family records with family-level vs. member-level dues toggles, per RFP §4.5.1.</t>
        </is>
      </c>
      <c r="D50" s="13" t="inlineStr">
        <is>
          <t>Admin can create, edit, merge, and remove family records; a per-family toggle controls whether dues are calculated at the family level or per individual member; merge preserves both families' donation and dues history.</t>
        </is>
      </c>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84.75" customHeight="1" s="14">
      <c r="A51" s="13" t="inlineStr">
        <is>
          <t>MFD-5</t>
        </is>
      </c>
      <c r="C51" s="13" t="inlineStr">
        <is>
          <t>A dues ledger with running balance and an aging report (30/60/90 days) so overdue dues are visible and actionable, per RFP §4.5.1.</t>
        </is>
      </c>
      <c r="D51" s="13" t="inlineStr">
        <is>
          <t>Dues Ledger component shows every issued/paid/comped/waived/refunded entry per family with a running balance; aging report buckets overdue families into 30/60/90-day tiers; a dunning workflow sends templated reminders per bucket.</t>
        </is>
      </c>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84.75" customHeight="1" s="14">
      <c r="A52" s="13" t="inlineStr">
        <is>
          <t>MFD-6</t>
        </is>
      </c>
      <c r="B52" s="34" t="n"/>
      <c r="C52" s="13" t="inlineStr">
        <is>
          <t>Issue dues credits or comps with an audit trail, gated by the two-person rule for money, per RFP §2.2.</t>
        </is>
      </c>
      <c r="D52" s="13" t="inlineStr">
        <is>
          <t>Credit/comp issuance requires a reason and a second admin's confirmation before it commits; both actors are recorded in the immutable audit log; the family's ledger reflects the credit immediately after confirmation.</t>
        </is>
      </c>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84.75" customHeight="1" s="14">
      <c r="A53" s="5" t="inlineStr">
        <is>
          <t>SPN-1</t>
        </is>
      </c>
      <c r="B53" s="35" t="inlineStr">
        <is>
          <t>Sponsorships &amp; Religious Calendar</t>
        </is>
      </c>
      <c r="C53" s="5" t="inlineStr">
        <is>
          <t>A Sponsor a Tithi flow with a calendar picker, tiered amounts, and anonymous/memorial options, per the walkthrough's design intent.</t>
        </is>
      </c>
      <c r="D53" s="5" t="inlineStr">
        <is>
          <t>Calendar picker shows open vs. booked tithi dates; tiered sponsorship amounts selectable; anonymous toggle and memorial/honoree text available; completed sponsorship writes a sponsorship record linked to the donation.</t>
        </is>
      </c>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84.75" customHeight="1" s="14">
      <c r="A54" s="5" t="inlineStr">
        <is>
          <t>SPN-2</t>
        </is>
      </c>
      <c r="C54" s="5" t="inlineStr">
        <is>
          <t>Daily Pooja &amp; Abhishek schedules across all five traditions with sponsor recognition, so no tradition is deprioritized, per RFP §2.2's five-traditions-one-sangha principle.</t>
        </is>
      </c>
      <c r="D54" s="5" t="inlineStr">
        <is>
          <t>Schedule displays day-by-day pooja/abhishek slots for all five traditions with equal visual prominence; sponsored slots show sponsor recognition (respecting anonymity); sign-in is not required to view, per RFP §4.1.2.</t>
        </is>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84.75" customHeight="1" s="14">
      <c r="A55" s="5" t="inlineStr">
        <is>
          <t>SPN-3</t>
        </is>
      </c>
      <c r="C55" s="5" t="inlineStr">
        <is>
          <t>A specialized Bhojanshala sponsorship flow with a date picker, three meal-type tiers, and a live meal-count, per the walkthrough's slide 11.</t>
        </is>
      </c>
      <c r="D55" s="5" t="inlineStr">
        <is>
          <t>Date picker shows open (available) vs. dimmed (booked) dates; tiers are full lunch/sweet box/snack seva with the RFP's example pricing; anonymous toggle and memorial text available; live count of meals served this month displays on the screen.</t>
        </is>
      </c>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84.75" customHeight="1" s="14">
      <c r="A56" s="5" t="inlineStr">
        <is>
          <t>SPN-4</t>
        </is>
      </c>
      <c r="C56" s="5" t="inlineStr">
        <is>
          <t>A Sponsors of the Month view honoring every donor for the current month, with per-sponsor detail and memorial text, per the walkthrough's slide 14.</t>
        </is>
      </c>
      <c r="D56" s="5" t="inlineStr">
        <is>
          <t>Pill tabs filter All/Bhojanshala/Festivals; month total raised and sponsor count shown; per-sponsor row shows name (respecting anonymity), what they sponsored, amount, and date; tapping a sponsor opens their public profile.</t>
        </is>
      </c>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84.75" customHeight="1" s="14">
      <c r="A57" s="5" t="inlineStr">
        <is>
          <t>SPN-5</t>
        </is>
      </c>
      <c r="C57" s="5" t="inlineStr">
        <is>
          <t>A pooja/abhishek schedule editor and a Bhojanshala kitchen calendar so admins can assign sponsors, mark slots open/sponsored, and track meal counts across the five traditions, per RFP §4.5.2.</t>
        </is>
      </c>
      <c r="D57" s="5" t="inlineStr">
        <is>
          <t>Schedule editor supports a daily slot grid across all five traditions with sponsor assignment; kitchen calendar supports meal-type tier configuration and meal-count tracking; both generate sponsor-recognition feeds for Home and Community.</t>
        </is>
      </c>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84.75" customHeight="1" s="14">
      <c r="A58" s="5" t="inlineStr">
        <is>
          <t>SPN-6</t>
        </is>
      </c>
      <c r="B58" s="34" t="n"/>
      <c r="C58" s="5" t="inlineStr">
        <is>
          <t>Configure Sponsor a Tithi tiers and open dates, and approve memorial text, so sponsorship offerings stay curated and appropriate.</t>
        </is>
      </c>
      <c r="D58" s="5" t="inlineStr">
        <is>
          <t>Admin can configure tier amounts and open/close individual tithi dates; memorial/honoree text submitted by a member enters a review queue before it displays publicly.</t>
        </is>
      </c>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84.75" customHeight="1" s="14">
      <c r="A59" s="13" t="inlineStr">
        <is>
          <t>COM-1</t>
        </is>
      </c>
      <c r="B59" s="33" t="inlineStr">
        <is>
          <t>Community Feed &amp; Moderation</t>
        </is>
      </c>
      <c r="C59" s="13" t="inlineStr">
        <is>
          <t>An explicit whitelist disclosure, and a member's own pending post never appearing publicly, so members understand and trust the moderation model, per RFP §2.2.</t>
        </is>
      </c>
      <c r="D59" s="13" t="inlineStr">
        <is>
          <t>Feed shows a persistent disclosure that member posts are reviewed before appearing publicly; a submitted post shows a 'pending review' state visible only to its author; no optimistic UI ever displays a pending post to any other user, even momentarily.</t>
        </is>
      </c>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84.75" customHeight="1" s="14">
      <c r="A60" s="13" t="inlineStr">
        <is>
          <t>COM-2</t>
        </is>
      </c>
      <c r="C60" s="13" t="inlineStr">
        <is>
          <t>Compose a post and see pinned admin announcements alongside approved member posts, filterable by All/Admin/Members/Youth, per the walkthrough's slide 17.</t>
        </is>
      </c>
      <c r="D60" s="13" t="inlineStr">
        <is>
          <t>Compose stub accepts text and media; feed renders pinned admin posts first, then approved member posts chronologically; pill-tab filters work; reactions are available on both post types.</t>
        </is>
      </c>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84.75" customHeight="1" s="14">
      <c r="A61" s="13" t="inlineStr">
        <is>
          <t>COM-3</t>
        </is>
      </c>
      <c r="C61" s="13" t="inlineStr">
        <is>
          <t>Report a post so inappropriate content reaches moderation quickly.</t>
        </is>
      </c>
      <c r="D61" s="13" t="inlineStr">
        <is>
          <t>Report action available on every post with a reason selector; a report creates a content_report entry visible in the admin moderation queue with the post automatically flagged.</t>
        </is>
      </c>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84.75" customHeight="1" s="14">
      <c r="A62" s="13" t="inlineStr">
        <is>
          <t>COM-4</t>
        </is>
      </c>
      <c r="C62" s="13" t="inlineStr">
        <is>
          <t>A moderation queue to approve, decline, edit, or flag member posts with real-time presence indicators, per RFP §2.2 and §4.4.1.</t>
        </is>
      </c>
      <c r="D62" s="13" t="inlineStr">
        <is>
          <t>Moderation queue lists pending posts with one-click approve/decline/edit/flag actions; a decline requires a reason returned to the author; presence indicator shows when another admin is already reviewing a given post.</t>
        </is>
      </c>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84.75" customHeight="1" s="14">
      <c r="A63" s="13" t="inlineStr">
        <is>
          <t>COM-5</t>
        </is>
      </c>
      <c r="C63" s="13" t="inlineStr">
        <is>
          <t>Pin/unpin admin posts and manage badges (Youth, Pathshala) so the feed's structure and member recognition stay curated.</t>
        </is>
      </c>
      <c r="D63" s="13" t="inlineStr">
        <is>
          <t>Pin/unpin toggle available on any admin-authored post; badge assignment available per member, visible next to their name on posts and profiles.</t>
        </is>
      </c>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84.75" customHeight="1" s="14">
      <c r="A64" s="13" t="inlineStr">
        <is>
          <t>COM-6</t>
        </is>
      </c>
      <c r="B64" s="34" t="n"/>
      <c r="C64" s="13" t="inlineStr">
        <is>
          <t>A reported-content handling workflow so member-flagged posts are triaged distinctly from routine new-post moderation.</t>
        </is>
      </c>
      <c r="D64" s="13" t="inlineStr">
        <is>
          <t>Reported posts appear in a distinct queue view with the reporter's reason visible; resolving a report records the outcome and clears it from the queue.</t>
        </is>
      </c>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84.75" customHeight="1" s="14">
      <c r="A65" s="5" t="inlineStr">
        <is>
          <t>NOT-1</t>
        </is>
      </c>
      <c r="B65" s="35" t="inlineStr">
        <is>
          <t>Notifications &amp; Messaging</t>
        </is>
      </c>
      <c r="C65" s="5" t="inlineStr">
        <is>
          <t>Notifications to fan out from the backend to APNs, FCM, Web Push, and email so every member is reachable regardless of surface or preference, per RFP §3.1.</t>
        </is>
      </c>
      <c r="D65" s="5" t="inlineStr">
        <is>
          <t>A single notification-send call fans out to all registered device tokens/channels for the target audience; email fallback fires automatically for users who have declined push; delivery status recorded per channel.</t>
        </is>
      </c>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84.75" customHeight="1" s="14">
      <c r="A66" s="5" t="inlineStr">
        <is>
          <t>NOT-2</t>
        </is>
      </c>
      <c r="C66" s="5" t="inlineStr">
        <is>
          <t>Device registration and per-category notification preferences so members control what reaches them and how, including opt-in birthday/anniversary alerts, per RFP §2.2.</t>
        </is>
      </c>
      <c r="D66" s="5" t="inlineStr">
        <is>
          <t>Device token registered on app install/sign-in; Profile &gt; Notifications lets a member toggle categories (events, donations, community, Pathshala) per channel; birthday/anniversary notifications are opt-in per family member, off by default.</t>
        </is>
      </c>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84.75" customHeight="1" s="14">
      <c r="A67" s="5" t="inlineStr">
        <is>
          <t>NOT-3</t>
        </is>
      </c>
      <c r="C67" s="5" t="inlineStr">
        <is>
          <t>A notification composer with multi-surface preview so admins can see exactly how a push will look before sending, per RFP §4.5.7.</t>
        </is>
      </c>
      <c r="D67" s="5" t="inlineStr">
        <is>
          <t>Composer shows a live preview for iOS lock screen, Android notification shade, web push, and email fallback; a deliverability estimate is shown before send; send-now and schedule-for-later both work.</t>
        </is>
      </c>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84.75" customHeight="1" s="14">
      <c r="A68" s="5" t="inlineStr">
        <is>
          <t>NOT-4</t>
        </is>
      </c>
      <c r="C68" s="5" t="inlineStr">
        <is>
          <t>A segment builder so admins can target a notification by any combination of saved filters, per RFP §4.5.7.</t>
        </is>
      </c>
      <c r="D68" s="5" t="inlineStr">
        <is>
          <t>Segment builder combines filters (tab activity, tradition, family role, Pathshala enrollment, membership tier); estimated reach updates live as filters change; segments are saveable and reusable across Notifications and Newsletter.</t>
        </is>
      </c>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84.75" customHeight="1" s="14">
      <c r="A69" s="5" t="inlineStr">
        <is>
          <t>NOT-5</t>
        </is>
      </c>
      <c r="C69" s="5" t="inlineStr">
        <is>
          <t>A per-notification delivery report with per-surface breakdown so admins know whether a message actually reached people, per RFP §4.5.7.</t>
        </is>
      </c>
      <c r="D69" s="5" t="inlineStr">
        <is>
          <t>Delivery report shows sent/delivered/opened (where measurable)/action-taken/bounced/opted-out, broken down by iOS/Android/web/email.</t>
        </is>
      </c>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84.75" customHeight="1" s="14">
      <c r="A70" s="5" t="inlineStr">
        <is>
          <t>NOT-6</t>
        </is>
      </c>
      <c r="B70" s="34" t="n"/>
      <c r="C70" s="5" t="inlineStr">
        <is>
          <t>A transactional template library for receipts, dues reminders, RSVP confirmations, and sign-in alerts, with an audit trail, per RFP §4.5.7.</t>
        </is>
      </c>
      <c r="D70" s="5" t="inlineStr">
        <is>
          <t>Templates are editable per notification type with variable placeholders; every edit is recorded in the audit trail; templates are used by the actual sending code paths, not duplicated inline.</t>
        </is>
      </c>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84.75" customHeight="1" s="14">
      <c r="A71" s="13" t="inlineStr">
        <is>
          <t>PS-1</t>
        </is>
      </c>
      <c r="B71" s="33" t="inlineStr">
        <is>
          <t>Pathshala</t>
        </is>
      </c>
      <c r="C71" s="13" t="inlineStr">
        <is>
          <t>A children's class hub showing enrolled children with class badges, today's lesson, and term-fee status, per the walkthrough's slide 18.</t>
        </is>
      </c>
      <c r="D71" s="13" t="inlineStr">
        <is>
          <t>Pathshala hub lists each enrolled child with class badge, today's lesson and materials download, term schedule, term-fee status, teacher contact, and attendance streak.</t>
        </is>
      </c>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84.75" customHeight="1" s="14">
      <c r="A72" s="13" t="inlineStr">
        <is>
          <t>PS-2</t>
        </is>
      </c>
      <c r="C72" s="13" t="inlineStr">
        <is>
          <t>A teacher-contact and parent-feedback flow so members can reach their child's teacher directly.</t>
        </is>
      </c>
      <c r="D72" s="13" t="inlineStr">
        <is>
          <t>Teacher contact info is visible per class; a feedback form routes to the assigned teacher's admin queue.</t>
        </is>
      </c>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84.75" customHeight="1" s="14">
      <c r="A73" s="13" t="inlineStr">
        <is>
          <t>PS-3</t>
        </is>
      </c>
      <c r="C73" s="13" t="inlineStr">
        <is>
          <t>Enrollment management, class roster, and term-fee status tracking so admins run the program without spreadsheets, per RFP §3.4.</t>
        </is>
      </c>
      <c r="D73" s="13" t="inlineStr">
        <is>
          <t>Admin can enroll/withdraw a child, view the class roster, and see term-fee status per enrollment; a Pathshala coordinator role can do this without access to refunds, per RFP §4.4.1's granular-permissions example.</t>
        </is>
      </c>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84.75" customHeight="1" s="14">
      <c r="A74" s="13" t="inlineStr">
        <is>
          <t>PS-4</t>
        </is>
      </c>
      <c r="B74" s="34" t="n"/>
      <c r="C74" s="13" t="inlineStr">
        <is>
          <t>Lesson and material publishing plus teacher account assignment so class content flows through the same authoring tools as everything else.</t>
        </is>
      </c>
      <c r="D74" s="13" t="inlineStr">
        <is>
          <t>Admin can publish a lesson with attached materials to a class; teacher accounts are assignable to classes with scoped access to only their own roster and lessons.</t>
        </is>
      </c>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84.75" customHeight="1" s="14">
      <c r="A75" s="5" t="inlineStr">
        <is>
          <t>VOL-1</t>
        </is>
      </c>
      <c r="B75" s="35" t="inlineStr">
        <is>
          <t>Volunteers &amp; Seva</t>
        </is>
      </c>
      <c r="C75" s="5" t="inlineStr">
        <is>
          <t>Browse open volunteer opportunities and sign up, plus lifetime seva-hour total, per the walkthrough's slide 19.</t>
        </is>
      </c>
      <c r="D75" s="5" t="inlineStr">
        <is>
          <t>Opportunity cards show name, commitment, when, and category (Bhojanshala, Pathshala, Festival, Setup/Cleanup); sign-up is one tap; lifetime seva-hour total is displayed read-only.</t>
        </is>
      </c>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84.75" customHeight="1" s="14">
      <c r="A76" s="5" t="inlineStr">
        <is>
          <t>VOL-2</t>
        </is>
      </c>
      <c r="C76" s="5" t="inlineStr">
        <is>
          <t>A group-volunteering sign-up option so friends can commit to an opportunity together.</t>
        </is>
      </c>
      <c r="D76" s="5" t="inlineStr">
        <is>
          <t>Group sign-up lets a Youth member add multiple names to one opportunity in a single submission.</t>
        </is>
      </c>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84.75" customHeight="1" s="14">
      <c r="A77" s="5" t="inlineStr">
        <is>
          <t>VOL-3</t>
        </is>
      </c>
      <c r="C77" s="5" t="inlineStr">
        <is>
          <t>Create volunteer opportunities, manage sign-ups, and log hours (admin-entered in v1.0), per RFP §3.4 item 10.</t>
        </is>
      </c>
      <c r="D77" s="5" t="inlineStr">
        <is>
          <t>Admin can create/edit/retire opportunities and view sign-ups; admin-entered hour logging updates a member's lifetime total immediately; member-entered hour logging is explicitly deferred to Phase 2 consideration.</t>
        </is>
      </c>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84.75" customHeight="1" s="14">
      <c r="A78" s="5" t="inlineStr">
        <is>
          <t>VOL-4</t>
        </is>
      </c>
      <c r="B78" s="34" t="n"/>
      <c r="C78" s="5" t="inlineStr">
        <is>
          <t>A volunteer-recognition export for Service Awards so seva contributions feed into the Phase 2 recognition program.</t>
        </is>
      </c>
      <c r="D78" s="5" t="inlineStr">
        <is>
          <t>Export produces a CSV of lifetime seva hours per member, filterable by date range, suitable as input to the Phase 2 Service Awards selection process.</t>
        </is>
      </c>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84.75" customHeight="1" s="14">
      <c r="A79" s="13" t="inlineStr">
        <is>
          <t>LD-1</t>
        </is>
      </c>
      <c r="B79" s="33" t="inlineStr">
        <is>
          <t>Live Darshan</t>
        </is>
      </c>
      <c r="C79" s="13" t="inlineStr">
        <is>
          <t>Live video from each of the five Jain traditions with a dark-mode UI so members can join darshan remotely, per the walkthrough's slide 7 (Astapadji explicitly excluded).</t>
        </is>
      </c>
      <c r="D79" s="13" t="inlineStr">
        <is>
          <t>Five shrine streams selectable (Mahavir, Adinath, Upashray, Shrimad, Dadawadi); live indicator with viewer count; dark-mode UI throughout; Astapadji is not present as a stream option.</t>
        </is>
      </c>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84.75" customHeight="1" s="14">
      <c r="A80" s="13" t="inlineStr">
        <is>
          <t>LD-2</t>
        </is>
      </c>
      <c r="C80" s="13" t="inlineStr">
        <is>
          <t>Picture-in-Picture and AirPlay/Cast so members can keep watching darshan while using their phone or cast it to a TV, per RFP §4.1.2.</t>
        </is>
      </c>
      <c r="D80" s="13" t="inlineStr">
        <is>
          <t>PiP works on iOS and Android; AirPlay works on iOS to an Apple TV; Google Cast works on Android to a Chromecast; all three build on the ARCH-2 spike's proven configuration.</t>
        </is>
      </c>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84.75" customHeight="1" s="14">
      <c r="A81" s="13" t="inlineStr">
        <is>
          <t>LD-3</t>
        </is>
      </c>
      <c r="C81" s="13" t="inlineStr">
        <is>
          <t>HLS playback with a low-latency option so members can watch darshan from a browser without an app install, per RFP §4.1.2.</t>
        </is>
      </c>
      <c r="D81" s="13" t="inlineStr">
        <is>
          <t>Web player supports standard HLS playback and a low-latency mode toggle; playback works on the major desktop and mobile browsers without a plugin.</t>
        </is>
      </c>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84.75" customHeight="1" s="14">
      <c r="A82" s="13" t="inlineStr">
        <is>
          <t>LD-4</t>
        </is>
      </c>
      <c r="C82" s="13" t="inlineStr">
        <is>
          <t>Configure the HLS stream URL, fallback, and on/off scheduling per tradition, and monitor stream health, per RFP §3.4 item 14.</t>
        </is>
      </c>
      <c r="D82" s="13" t="inlineStr">
        <is>
          <t>Admin can set primary and fallback HLS URLs per tradition, schedule on/off windows, and see a stream-health status indicator (up/down/degraded) with recent uptime history.</t>
        </is>
      </c>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84.75" customHeight="1" s="14">
      <c r="A83" s="13" t="inlineStr">
        <is>
          <t>LD-5</t>
        </is>
      </c>
      <c r="B83" s="34" t="n"/>
      <c r="C83" s="13" t="inlineStr">
        <is>
          <t>A notification 15 minutes before evening aarti so members don't miss it, per the walkthrough's slide 4.</t>
        </is>
      </c>
      <c r="D83" s="13" t="inlineStr">
        <is>
          <t>A scheduled notification fires 15 minutes before each tradition's configured evening aarti time, respecting the member's notification preferences; tapping it deep-links directly into that tradition's Live Darshan stream.</t>
        </is>
      </c>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84.75" customHeight="1" s="14">
      <c r="A84" s="5" t="inlineStr">
        <is>
          <t>GOV-1</t>
        </is>
      </c>
      <c r="B84" s="35" t="inlineStr">
        <is>
          <t>Admin — Governance &amp; Operations</t>
        </is>
      </c>
      <c r="C84" s="5" t="inlineStr">
        <is>
          <t>An immutable, filterable audit log retained for seven years so every state-changing operation is reviewable, per RFP §4.4.1 and §4.5.3.</t>
        </is>
      </c>
      <c r="D84" s="5" t="inlineStr">
        <is>
          <t>Audit log viewer filters by actor, action type, target record, and time range; entries cannot be edited or deleted through any application code path; export available for board/audit-committee review.</t>
        </is>
      </c>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84.75" customHeight="1" s="14">
      <c r="A85" s="5" t="inlineStr">
        <is>
          <t>GOV-2</t>
        </is>
      </c>
      <c r="C85" s="5" t="inlineStr">
        <is>
          <t>A reusable two-person confirmation modal for every money-moving operation so the two-person rule is enforced consistently everywhere, per RFP §4.4.1.</t>
        </is>
      </c>
      <c r="D85" s="5" t="inlineStr">
        <is>
          <t>One shared component handles refunds, dues comps, manual donation entry, and subscription cancel-on-behalf; the initiating admin's request is visible to a second admin who must authenticate to confirm; both signatures are captured in the audit log.</t>
        </is>
      </c>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84.75" customHeight="1" s="14">
      <c r="A86" s="5" t="inlineStr">
        <is>
          <t>GOV-3</t>
        </is>
      </c>
      <c r="C86" s="5" t="inlineStr">
        <is>
          <t>A soft-delete trash so any deleted record is recoverable for 30 days before a scheduled hard-delete, per RFP §4.4.1.</t>
        </is>
      </c>
      <c r="D86" s="5" t="inlineStr">
        <is>
          <t>Every deletable record type appears in a searchable trash view within its section; Restore returns it to its prior state; after 30 days an automated job hard-deletes tombstoned records, with legal-retention exceptions for donation records.</t>
        </is>
      </c>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84.75" customHeight="1" s="14">
      <c r="A87" s="5" t="inlineStr">
        <is>
          <t>GOV-4</t>
        </is>
      </c>
      <c r="C87" s="5" t="inlineStr">
        <is>
          <t>A feature-flag console for staged rollout (staff, committee, percentage, full) so new features ship safely post-launch, per RFP §4.4.2.</t>
        </is>
      </c>
      <c r="D87" s="5" t="inlineStr">
        <is>
          <t>Feature flags can be toggled through the four rollout stages; each flag change is audit-logged; a flagged feature is visible only to the intended population at each stage.</t>
        </is>
      </c>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84.75" customHeight="1" s="14">
      <c r="A88" s="5" t="inlineStr">
        <is>
          <t>GOV-5</t>
        </is>
      </c>
      <c r="C88" s="5" t="inlineStr">
        <is>
          <t>A maintenance-mode toggle with a configurable banner and ETA so planned downtime is communicated clearly, per RFP §4.4.2.</t>
        </is>
      </c>
      <c r="D88" s="5" t="inlineStr">
        <is>
          <t>Toggling maintenance mode displays a banner with a custom message and ETA across all member-facing surfaces; toggle is Super-Admin only and audit-logged.</t>
        </is>
      </c>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84.75" customHeight="1" s="14">
      <c r="A89" s="5" t="inlineStr">
        <is>
          <t>GOV-6</t>
        </is>
      </c>
      <c r="C89" s="5" t="inlineStr">
        <is>
          <t>An encrypted integration-credentials vault so payment, push, email, and streaming secrets are managed centrally and never exposed in plaintext, per RFP §4.5.3.</t>
        </is>
      </c>
      <c r="D89" s="5" t="inlineStr">
        <is>
          <t>Credentials vault stores references to Secret Manager entries, not raw secrets, in the database; only Super-Admin role can view/edit; every credential rotation is audit-logged.</t>
        </is>
      </c>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84.75" customHeight="1" s="14">
      <c r="A90" s="5" t="inlineStr">
        <is>
          <t>GOV-7</t>
        </is>
      </c>
      <c r="C90" s="5" t="inlineStr">
        <is>
          <t>Backup/restore visibility with a mandatory confirmation step so admins can verify backups are happening and recover from a bad state if needed, per RFP §4.4.2.</t>
        </is>
      </c>
      <c r="D90" s="5" t="inlineStr">
        <is>
          <t>Admin sees the timestamp of the last successful backup; triggering a restore-from-backup requires explicit Super-Admin confirmation and writes an audit-log entry; a scheduled restore drill can be configured.</t>
        </is>
      </c>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84.75" customHeight="1" s="14">
      <c r="A91" s="5" t="inlineStr">
        <is>
          <t>GOV-8</t>
        </is>
      </c>
      <c r="B91" s="34" t="n"/>
      <c r="C91" s="5" t="inlineStr">
        <is>
          <t>A dedicated System-health panel showing backend status, queue depths, third-party-integration health, and recent error rates, with on-call paging, per RFP §4.5.4.</t>
        </is>
      </c>
      <c r="D91" s="5" t="inlineStr">
        <is>
          <t>System-health panel (distinct from the summary widget on the general Operations Dashboard) shows live backend service status, Celery queue depth, payment/push/email/streaming integration health, and recent error-rate trend; a configurable threshold breach triggers an on-call page.</t>
        </is>
      </c>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84.75" customHeight="1" s="14">
      <c r="A92" s="13" t="inlineStr">
        <is>
          <t>SEO-1</t>
        </is>
      </c>
      <c r="B92" s="33" t="inlineStr">
        <is>
          <t>Public Web &amp; SEO</t>
        </is>
      </c>
      <c r="C92" s="13" t="inlineStr">
        <is>
          <t>The public website indexable by search engines so members can find JCA when they search, per RFP §3.2 and §4.1.3.</t>
        </is>
      </c>
      <c r="D92" s="13" t="inlineStr">
        <is>
          <t>Every public page has proper meta tags, Open Graph tags, and a canonical URL; an XML sitemap and robots.txt are published and correct; Google and Bing site verification is completed.</t>
        </is>
      </c>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84.75" customHeight="1" s="14">
      <c r="A93" s="13" t="inlineStr">
        <is>
          <t>SEO-2</t>
        </is>
      </c>
      <c r="C93" s="13" t="inlineStr">
        <is>
          <t>Structured data (Schema.org) on events, religious services, and the organization so rich results can render for JCA content.</t>
        </is>
      </c>
      <c r="D93" s="13" t="inlineStr">
        <is>
          <t>Event pages emit Event schema; the organization page emits Organization/NGO schema; religious-service pages emit appropriate structured data; validated with Google's Rich Results Test.</t>
        </is>
      </c>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84.75" customHeight="1" s="14">
      <c r="A94" s="13" t="inlineStr">
        <is>
          <t>SEO-3</t>
        </is>
      </c>
      <c r="C94" s="13" t="inlineStr">
        <is>
          <t>Public pages to meet performance budgets so search ranking and elder-device usability aren't harmed by a slow site.</t>
        </is>
      </c>
      <c r="D94" s="13" t="inlineStr">
        <is>
          <t>LCP, INP, and CLS meet 'Good' thresholds on Lighthouse for the homepage, an event page, and the donate page on a throttled mobile profile; a performance budget is enforced in CI.</t>
        </is>
      </c>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84.75" customHeight="1" s="14">
      <c r="A95" s="13" t="inlineStr">
        <is>
          <t>SEO-4</t>
        </is>
      </c>
      <c r="B95" s="34" t="n"/>
      <c r="C95" s="13" t="inlineStr">
        <is>
          <t>Donate and sign up for the mailing list without creating an account, per RFP §3.2.</t>
        </is>
      </c>
      <c r="D95" s="13" t="inlineStr">
        <is>
          <t>Donation and mailing-list signup flows work fully without sign-in on the public site; a post-donation prompt offers account creation without requiring it.</t>
        </is>
      </c>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84.75" customHeight="1" s="14">
      <c r="A96" s="5" t="inlineStr">
        <is>
          <t>L10N-1</t>
        </is>
      </c>
      <c r="B96" s="35" t="inlineStr">
        <is>
          <t>Localization &amp; Accessibility</t>
        </is>
      </c>
      <c r="C96" s="5" t="inlineStr">
        <is>
          <t>The centralized translation catalog wired end-to-end so English content renders correctly on all four surfaces from one source, per RFP §3.1 and §5.2.</t>
        </is>
      </c>
      <c r="D96" s="5" t="inlineStr">
        <is>
          <t>All user-facing strings route through the localization_string catalog; English is fully populated; a string change in the catalog reflects on all surfaces without a client redeploy (cache-invalidated).</t>
        </is>
      </c>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84.75" customHeight="1" s="14">
      <c r="A97" s="5" t="inlineStr">
        <is>
          <t>L10N-2</t>
        </is>
      </c>
      <c r="C97" s="5" t="inlineStr">
        <is>
          <t>Hindi and Gujarati scaffolding wired (infrastructure present, not yet populated) so Phase 2 translation work has no engineering dependency.</t>
        </is>
      </c>
      <c r="D97" s="5" t="inlineStr">
        <is>
          <t>Locale switching mechanism exists and is testable end-to-end with placeholder Hindi/Gujarati strings; the full population of real translations is explicitly out of scope for this sprint and deferred to Phase 2.</t>
        </is>
      </c>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84.75" customHeight="1" s="14">
      <c r="A98" s="5" t="inlineStr">
        <is>
          <t>L10N-3</t>
        </is>
      </c>
      <c r="C98" s="5" t="inlineStr">
        <is>
          <t>Sanskrit/Prakrit terminology and diacritics preserved verbatim in every locale so religious accuracy is never lost in translation, per RFP §5.2.</t>
        </is>
      </c>
      <c r="D98" s="5" t="inlineStr">
        <is>
          <t>Terms like anumodana, swamivatsalya, dāna, and pratikraman render identically and with correct diacritics regardless of active locale; font stack verified to render diacritics correctly on all platforms.</t>
        </is>
      </c>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84.75" customHeight="1" s="14">
      <c r="A99" s="5" t="inlineStr">
        <is>
          <t>L10N-4</t>
        </is>
      </c>
      <c r="C99" s="5" t="inlineStr">
        <is>
          <t>A per-surface accessibility audit embedded in the Definition of Done so WCAG 2.1 AA is verified, not assumed, per RFP §4.1.1.</t>
        </is>
      </c>
      <c r="D99" s="5" t="inlineStr">
        <is>
          <t>Every shipped screen passes an automated accessibility scan plus a manual screen-reader pass (VoiceOver, TalkBack, and a desktop screen reader for web); the platform-native Skip to Content equivalents are implemented on all three surfaces; results logged per screen.</t>
        </is>
      </c>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84.75" customHeight="1" s="14">
      <c r="A100" s="5" t="inlineStr">
        <is>
          <t>L10N-5</t>
        </is>
      </c>
      <c r="B100" s="34" t="n"/>
      <c r="C100" s="5" t="inlineStr">
        <is>
          <t>The Payload LocalizationStrings collection to double as the translation-management screen — no separate build — so admins can manage strings without touching code.</t>
        </is>
      </c>
      <c r="D100" s="5" t="inlineStr">
        <is>
          <t>The Payload admin lists every translation key with its English value and locale variants as a standard Payload collection view; edits save immediately and propagate per L10N-1's cache-invalidation mechanism; no bespoke admin screen is built since Payload's generic collection UI already covers this.</t>
        </is>
      </c>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84.75" customHeight="1" s="14">
      <c r="A101" s="13" t="inlineStr">
        <is>
          <t>SEC-1</t>
        </is>
      </c>
      <c r="B101" s="33" t="inlineStr">
        <is>
          <t>Security, Testing &amp; QA</t>
        </is>
      </c>
      <c r="C101" s="13" t="inlineStr">
        <is>
          <t>TLS 1.2+ enforced everywhere with strict ATS/NSC/HSTS/CSP so all network traffic is encrypted and hardened, per RFP §5.1.</t>
        </is>
      </c>
      <c r="D101" s="13" t="inlineStr">
        <is>
          <t>All traffic redirects to TLS 1.2+; iOS App Transport Security is configured strictly with no exceptions; Android Network Security Config is strict; web enforces HSTS and a strict Content Security Policy by default.</t>
        </is>
      </c>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84.75" customHeight="1" s="14">
      <c r="A102" s="13" t="inlineStr">
        <is>
          <t>SEC-2</t>
        </is>
      </c>
      <c r="C102" s="13" t="inlineStr">
        <is>
          <t>At least 70% line coverage on business-logic modules across all surfaces, per RFP §5.3.</t>
        </is>
      </c>
      <c r="D102" s="13" t="inlineStr">
        <is>
          <t>Coverage reports show &gt;=70% on business-logic modules for backend, web, admin, and mobile; coverage gate enforced in CI, blocking merge on regression.</t>
        </is>
      </c>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84.75" customHeight="1" s="14">
      <c r="A103" s="13" t="inlineStr">
        <is>
          <t>SEC-3</t>
        </is>
      </c>
      <c r="C103" s="13" t="inlineStr">
        <is>
          <t>End-to-end tests for the five primary flows (sign-in, donate, dues payment, post-to-community, moderate-a-post) so critical paths never regress silently, per RFP §5.3.</t>
        </is>
      </c>
      <c r="D103" s="13" t="inlineStr">
        <is>
          <t>E2E suite (Playwright/Detox or equivalent) covers all five flows on the applicable surfaces; suite runs on every PR affecting those flows and blocks merge on failure.</t>
        </is>
      </c>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84.75" customHeight="1" s="14">
      <c r="A104" s="13" t="inlineStr">
        <is>
          <t>SEC-4</t>
        </is>
      </c>
      <c r="C104" s="13" t="inlineStr">
        <is>
          <t>Rate limiting on public-facing APIs and dependency-vulnerability scanning in CI so abuse and known CVEs are caught automatically, per RFP §5.1.</t>
        </is>
      </c>
      <c r="D104" s="13" t="inlineStr">
        <is>
          <t>Public API routes are IP-rate-limited with a configurable threshold returning 429 when exceeded; every PR runs a dependency scan that blocks merge on a Critical finding; a scheduled weekly full scan runs against main.</t>
        </is>
      </c>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84.75" customHeight="1" s="14">
      <c r="A105" s="13" t="inlineStr">
        <is>
          <t>SEC-5</t>
        </is>
      </c>
      <c r="C105" s="13" t="inlineStr">
        <is>
          <t>A third-party penetration test conducted before Phase 1 launch with all High and Critical findings remediated, per RFP §5.1 and §6.1.1.</t>
        </is>
      </c>
      <c r="D105" s="13" t="inlineStr">
        <is>
          <t>An independent third-party pen test is completed against the staging environment covering all four surfaces and the backend; every High and Critical finding is remediated and re-verified before the Phase 1 launch gate.</t>
        </is>
      </c>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84.75" customHeight="1" s="14">
      <c r="A106" s="13" t="inlineStr">
        <is>
          <t>SEC-6</t>
        </is>
      </c>
      <c r="B106" s="34" t="n"/>
      <c r="C106" s="13" t="inlineStr">
        <is>
          <t>Request full deletion of their account and personal data, with donation records de-linked but IRS-retained, per RFP §5.1.</t>
        </is>
      </c>
      <c r="D106" s="13" t="inlineStr">
        <is>
          <t>A data-deletion request from Profile &gt; Settings removes personally identifying data from the platform within a defined SLA; donation records remain in JCA's accounting system for IRS-compliance retention but are de-linked from any identifying profile.</t>
        </is>
      </c>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84.75" customHeight="1" s="14">
      <c r="A107" s="5" t="inlineStr">
        <is>
          <t>LAUNCH-1</t>
        </is>
      </c>
      <c r="B107" s="35" t="inlineStr">
        <is>
          <t>Store &amp; Launch Readiness</t>
        </is>
      </c>
      <c r="C107" s="5" t="inlineStr">
        <is>
          <t>The iOS App Store submission package assembled (Privacy Manifest, Nutrition Label, screenshots) so review can begin, per RFP §5.4.</t>
        </is>
      </c>
      <c r="D107" s="5" t="inlineStr">
        <is>
          <t>App Privacy Manifest and Privacy Nutrition Label completed accurately; five screenshots per required device size prepared; listing copy drafted and approved by JCA; JCA's developer account used for submission.</t>
        </is>
      </c>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84.75" customHeight="1" s="14">
      <c r="A108" s="5" t="inlineStr">
        <is>
          <t>LAUNCH-2</t>
        </is>
      </c>
      <c r="C108" s="5" t="inlineStr">
        <is>
          <t>The Google Play submission package assembled (Data Safety form, content rating, feature graphic) so review can begin, per RFP §5.4.</t>
        </is>
      </c>
      <c r="D108" s="5" t="inlineStr">
        <is>
          <t>Data Safety form completed accurately; content rating questionnaire submitted; feature graphic and store-listing screenshots prepared; JCA's Play Console account used for submission.</t>
        </is>
      </c>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84.75" customHeight="1" s="14">
      <c r="A109" s="5" t="inlineStr">
        <is>
          <t>LAUNCH-3</t>
        </is>
      </c>
      <c r="C109" s="5" t="inlineStr">
        <is>
          <t>TestFlight and Play Internal Testing distribution before public release so issues are caught pre-launch, per RFP §6.1.1.</t>
        </is>
      </c>
      <c r="D109" s="5" t="inlineStr">
        <is>
          <t>A build is distributed via TestFlight to the JCA committee and via Play Internal Testing to the same group; feedback is collected and triaged before proceeding to public submission.</t>
        </is>
      </c>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84.75" customHeight="1" s="14">
      <c r="A110" s="5" t="inlineStr">
        <is>
          <t>LAUNCH-4</t>
        </is>
      </c>
      <c r="C110" s="5" t="inlineStr">
        <is>
          <t>DNS/SSL configured for the public web and the admin subdomain so both are reachable at the production URLs, per RFP §5.4.</t>
        </is>
      </c>
      <c r="D110" s="5" t="inlineStr">
        <is>
          <t>nyjaincenter.org resolves to the production web app with valid SSL; admin.nyjaincenter.org resolves to the admin app with valid SSL and optional IP allowlisting configured if requested by JCA.</t>
        </is>
      </c>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84.75" customHeight="1" s="14">
      <c r="A111" s="5" t="inlineStr">
        <is>
          <t>LAUNCH-5</t>
        </is>
      </c>
      <c r="B111" s="34" t="n"/>
      <c r="C111" s="5" t="inlineStr">
        <is>
          <t>App Store and Google Play approval achieved and the admin utility in daily production use, so Phase 1 formally clears its acceptance gate, per RFP §6.2.</t>
        </is>
      </c>
      <c r="D111" s="5" t="inlineStr">
        <is>
          <t>iOS app is approved and live on the App Store; Android app is approved and live on Google Play; public web is publicly accessible; admin utility is in active daily use by JCA staff; JCA project committee signs off on every surface.</t>
        </is>
      </c>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21">
    <mergeCell ref="B75:B78"/>
    <mergeCell ref="B59:B64"/>
    <mergeCell ref="B71:B74"/>
    <mergeCell ref="B47:B52"/>
    <mergeCell ref="B17:B22"/>
    <mergeCell ref="B11:B16"/>
    <mergeCell ref="B101:B106"/>
    <mergeCell ref="B79:B83"/>
    <mergeCell ref="B23:B28"/>
    <mergeCell ref="A1:D1"/>
    <mergeCell ref="B92:B95"/>
    <mergeCell ref="B53:B58"/>
    <mergeCell ref="B84:B91"/>
    <mergeCell ref="B96:B100"/>
    <mergeCell ref="B65:B70"/>
    <mergeCell ref="B36:B41"/>
    <mergeCell ref="B42:B46"/>
    <mergeCell ref="B107:B111"/>
    <mergeCell ref="A2:D2"/>
    <mergeCell ref="B5:B10"/>
    <mergeCell ref="B29:B35"/>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14" min="1" max="1"/>
    <col width="30" customWidth="1" style="14" min="2" max="2"/>
    <col width="52" customWidth="1" style="14" min="3" max="3"/>
    <col width="66" customWidth="1" style="14" min="4" max="4"/>
    <col width="8.710000000000001" customWidth="1" style="14" min="5" max="6"/>
  </cols>
  <sheetData>
    <row r="1">
      <c r="A1" s="1" t="inlineStr">
        <is>
          <t>Phase 2 — v1.5 (should-have follow-on release)</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14">
      <c r="A2" s="3" t="inlineStr">
        <is>
          <t>Member-gated content, governance transparency, richer educational resources. Hindi/Gujarati fully populated. RFP §4.2.</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ID</t>
        </is>
      </c>
      <c r="B4" s="4" t="inlineStr">
        <is>
          <t>Module</t>
        </is>
      </c>
      <c r="C4" s="4" t="inlineStr">
        <is>
          <t>User Story</t>
        </is>
      </c>
      <c r="D4" s="4" t="inlineStr">
        <is>
          <t>Description</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ht="84.75" customHeight="1" s="14">
      <c r="A5" s="5" t="inlineStr">
        <is>
          <t>GOVD-1</t>
        </is>
      </c>
      <c r="B5" s="35" t="inlineStr">
        <is>
          <t>Governance &amp; Documents</t>
        </is>
      </c>
      <c r="C5" s="5" t="inlineStr">
        <is>
          <t>A membership-gated meeting-minutes archive with chronological browse, full-text search, and PDF download, per RFP §4.2.</t>
        </is>
      </c>
      <c r="D5" s="5" t="inlineStr">
        <is>
          <t>Board / Executive Committee / General Body minutes are browsable chronologically, gated to signed-in members, full-text searchable, and downloadable as PDF.</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ht="84.75" customHeight="1" s="14">
      <c r="A6" s="5" t="inlineStr">
        <is>
          <t>GOVD-2</t>
        </is>
      </c>
      <c r="C6" s="5" t="inlineStr">
        <is>
          <t>Upload, tag, version, redact, and publish meeting minutes with gating control, per RFP §4.2.</t>
        </is>
      </c>
      <c r="D6" s="5" t="inlineStr">
        <is>
          <t>Admin uploads a PDF, tags meeting type and date, can redact sections before publish, versions the document, and controls which membership tiers can view it.</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ht="84.75" customHeight="1" s="14">
      <c r="A7" s="5" t="inlineStr">
        <is>
          <t>GOVD-3</t>
        </is>
      </c>
      <c r="C7" s="5" t="inlineStr">
        <is>
          <t>Browse and search published JCA Policies so members understand the rules governing facility use, membership, and conduct, per RFP §4.2.</t>
        </is>
      </c>
      <c r="D7" s="5" t="inlineStr">
        <is>
          <t>Policies are browsable and searchable, public to members without additional gating.</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ht="84.75" customHeight="1" s="14">
      <c r="A8" s="5" t="inlineStr">
        <is>
          <t>GOVD-4</t>
        </is>
      </c>
      <c r="B8" s="34" t="n"/>
      <c r="C8" s="5" t="inlineStr">
        <is>
          <t>A long-form Credits &amp; History narrative of the Center's founding, milestones, and restoration efforts, per RFP §4.2.</t>
        </is>
      </c>
      <c r="D8" s="5" t="inlineStr">
        <is>
          <t>History page renders a CMS-authored narrative with images and a timeline component.</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ht="84.75" customHeight="1" s="14">
      <c r="A9" s="13" t="inlineStr">
        <is>
          <t>LIB-1</t>
        </is>
      </c>
      <c r="B9" s="33" t="inlineStr">
        <is>
          <t>Library, Jinvani &amp; Lectures</t>
        </is>
      </c>
      <c r="C9" s="13" t="inlineStr">
        <is>
          <t>A searchable library of Jain scriptures, commentaries, and children's editions with continue-reading state, per the walkthrough's slide 26.</t>
        </is>
      </c>
      <c r="D9" s="13" t="inlineStr">
        <is>
          <t>Search covers full text of all catalog PDFs; tabs for All/Agam Sutras/Commentaries/Children/Bookmarks; a Continue Reading hero shows the last-read position (e.g. 'Tattvārtha Sūtra, p.84/312').</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ht="84.75" customHeight="1" s="14">
      <c r="A10" s="13" t="inlineStr">
        <is>
          <t>LIB-2</t>
        </is>
      </c>
      <c r="C10" s="13" t="inlineStr">
        <is>
          <t>Audio versions of texts like Samayika so members can listen rather than read.</t>
        </is>
      </c>
      <c r="D10" s="13" t="inlineStr">
        <is>
          <t>Audio playback available for tagged catalog entries; offline download available on mobile per RFP §4.2.</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84.75" customHeight="1" s="14">
      <c r="A11" s="13" t="inlineStr">
        <is>
          <t>LIB-3</t>
        </is>
      </c>
      <c r="C11" s="13" t="inlineStr">
        <is>
          <t>A Pravachan (lecture) archive organized by topic, speaker, and date so members can find teachings relevant to them, per RFP §4.2.</t>
        </is>
      </c>
      <c r="D11" s="13" t="inlineStr">
        <is>
          <t>Lecture archive is browsable/filterable by topic, speaker, and date; audio/video playback with offline audio download on mobile; transcript available where uploaded.</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84.75" customHeight="1" s="14">
      <c r="A12" s="13" t="inlineStr">
        <is>
          <t>LIB-4</t>
        </is>
      </c>
      <c r="C12" s="13" t="inlineStr">
        <is>
          <t>Browse the physical/digital library catalog, reserve a physical book, and download a licensed digital book, per RFP §4.2.</t>
        </is>
      </c>
      <c r="D12" s="13" t="inlineStr">
        <is>
          <t>Catalog distinguishes physical vs. digital availability; reservation queue for physical books; digital download respects license restrictions.</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84.75" customHeight="1" s="14">
      <c r="A13" s="13" t="inlineStr">
        <is>
          <t>LIB-5</t>
        </is>
      </c>
      <c r="C13" s="13" t="inlineStr">
        <is>
          <t>A digital textbook library with grade-level browse, offline download, and parental controls, per RFP §4.2.</t>
        </is>
      </c>
      <c r="D13" s="13" t="inlineStr">
        <is>
          <t>Pathshala Books section is gated to enrolled families; browsable by grade level; offline download available; parental controls restrict access appropriate to the child's grade.</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84.75" customHeight="1" s="14">
      <c r="A14" s="13" t="inlineStr">
        <is>
          <t>LIB-6</t>
        </is>
      </c>
      <c r="B14" s="34" t="n"/>
      <c r="C14" s="13" t="inlineStr">
        <is>
          <t>Catalog management, reservation-queue handling, and license tracking for the library, plus per-grade textbook upload and download analytics for Pathshala Books, per RFP §4.2.</t>
        </is>
      </c>
      <c r="D14" s="13" t="inlineStr">
        <is>
          <t>Admin manages the full library and Pathshala Books catalogs, including upload, tagging (tradition/language/topic), reservation approval, license tracking, and download analytics.</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84.75" customHeight="1" s="14">
      <c r="A15" s="5" t="inlineStr">
        <is>
          <t>DIR-1</t>
        </is>
      </c>
      <c r="B15" s="35" t="inlineStr">
        <is>
          <t>Directory, Travel &amp; Facility Booking</t>
        </is>
      </c>
      <c r="C15" s="5" t="inlineStr">
        <is>
          <t>A Business Directory of member-owned Jain businesses so members can support the sangha economically, per the walkthrough's slide 27.</t>
        </is>
      </c>
      <c r="D15" s="5" t="inlineStr">
        <is>
          <t>Directory is category-filterable, shows sangha-discount tags where applicable, and lets a member list their own business for free.</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84.75" customHeight="1" s="14">
      <c r="A16" s="5" t="inlineStr">
        <is>
          <t>DIR-2</t>
        </is>
      </c>
      <c r="C16" s="5" t="inlineStr">
        <is>
          <t>Find Jain centers and pure-veg restaurants nationwide, per the walkthrough's slide 29.</t>
        </is>
      </c>
      <c r="D16" s="5" t="inlineStr">
        <is>
          <t>Combined Centers/Restaurants/Map view lets a member find nearby centers and restaurants with Jain-friendly badges; tapping a pin opens directions in the device's maps app.</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84.75" customHeight="1" s="14">
      <c r="A17" s="5" t="inlineStr">
        <is>
          <t>DIR-3</t>
        </is>
      </c>
      <c r="C17" s="5" t="inlineStr">
        <is>
          <t>Reserve JCA halls with member-rate pricing and see a booking-policy card, per the walkthrough's slide 28.</t>
        </is>
      </c>
      <c r="D17" s="5" t="inlineStr">
        <is>
          <t>Date picker shows the three facilities with member-rate pricing; booking-policy card (deposit percentage, refundability, pure-veg-only rule) is displayed before booking; Book routes to the shared payment-confirmation screen for the deposit.</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84.75" customHeight="1" s="14">
      <c r="A18" s="5" t="inlineStr">
        <is>
          <t>DIR-4</t>
        </is>
      </c>
      <c r="C18" s="5" t="inlineStr">
        <is>
          <t>Approve/decline facility bookings with a calendar-conflict view and deposit tracking, per RFP §3.4 item 11.</t>
        </is>
      </c>
      <c r="D18" s="5" t="inlineStr">
        <is>
          <t>Admin sees pending booking requests with the calendar-conflict view from CAL-5 overlaid; approve/decline actions available; deposit paid/outstanding status tracked per booking.</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84.75" customHeight="1" s="14">
      <c r="A19" s="5" t="inlineStr">
        <is>
          <t>DIR-5</t>
        </is>
      </c>
      <c r="B19" s="34" t="n"/>
      <c r="C19" s="5" t="inlineStr">
        <is>
          <t>Approve member-submitted Business Directory and Restaurant listings so directory quality stays curated, per RFP §3.4 item 16.</t>
        </is>
      </c>
      <c r="D19" s="5" t="inlineStr">
        <is>
          <t>Submitted listings enter a review queue; approve/decline with a reason; approved listings appear live immediately.</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84.75" customHeight="1" s="14">
      <c r="A20" s="13" t="inlineStr">
        <is>
          <t>REC-1</t>
        </is>
      </c>
      <c r="B20" s="33" t="inlineStr">
        <is>
          <t>Recognition Programs</t>
        </is>
      </c>
      <c r="C20" s="13" t="inlineStr">
        <is>
          <t>Nominate someone for a Service Award and see award recipients and ceremony info, per RFP §4.2.</t>
        </is>
      </c>
      <c r="D20" s="13" t="inlineStr">
        <is>
          <t>Nomination form is available to members; recipient list and ceremony info are publicly viewable once published.</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84.75" customHeight="1" s="14">
      <c r="A21" s="13" t="inlineStr">
        <is>
          <t>REC-2</t>
        </is>
      </c>
      <c r="C21" s="13" t="inlineStr">
        <is>
          <t>Nomination intake and selection-committee tooling so the award process is organized and fair, per RFP §4.5.</t>
        </is>
      </c>
      <c r="D21" s="13" t="inlineStr">
        <is>
          <t>Admin sees all nominations with eligibility criteria checked; a selection-committee scoring/voting tool aggregates decisions; approved recipients publish to the member-facing recipient list.</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84.75" customHeight="1" s="14">
      <c r="A22" s="13" t="inlineStr">
        <is>
          <t>REC-3</t>
        </is>
      </c>
      <c r="C22" s="13" t="inlineStr">
        <is>
          <t>A Lifetime Supporter Program with perpetual profile recognition and anniversary acknowledgements, per RFP §4.2.</t>
        </is>
      </c>
      <c r="D22" s="13" t="inlineStr">
        <is>
          <t>Lifetime Supporters have a distinct, perpetual public listing; anniversary acknowledgements trigger automatically on the giving anniversary date.</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84.75" customHeight="1" s="14">
      <c r="A23" s="13" t="inlineStr">
        <is>
          <t>REC-4</t>
        </is>
      </c>
      <c r="B23" s="34" t="n"/>
      <c r="C23" s="13" t="inlineStr">
        <is>
          <t>Recognition-rule and perpetual-listing management for the Lifetime Supporter Program, per RFP §4.5.</t>
        </is>
      </c>
      <c r="D23" s="13" t="inlineStr">
        <is>
          <t>Admin configures the qualifying threshold and rule set for Lifetime Supporter status; perpetual listings are maintained without manual re-entry each year.</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84.75" customHeight="1" s="14">
      <c r="A24" s="5" t="inlineStr">
        <is>
          <t>YTH-1</t>
        </is>
      </c>
      <c r="B24" s="35" t="inlineStr">
        <is>
          <t>Youth &amp; YJA</t>
        </is>
      </c>
      <c r="C24" s="5" t="inlineStr">
        <is>
          <t>A dedicated Youth section with programming, mentorship, and social events distinct from Pathshala and YJA Programs.</t>
        </is>
      </c>
      <c r="D24" s="5" t="inlineStr">
        <is>
          <t>Youth section is age-gated; content is distinct from both Pathshala (under-18 classes) and YJA Programs (18-25 national programming).</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84.75" customHeight="1" s="14">
      <c r="A25" s="5" t="inlineStr">
        <is>
          <t>YTH-2</t>
        </is>
      </c>
      <c r="C25" s="5" t="inlineStr">
        <is>
          <t>YJA programming (events, registration links, contact info) syndicated into the app, per RFP §4.2.</t>
        </is>
      </c>
      <c r="D25" s="5" t="inlineStr">
        <is>
          <t>YJA events appear in the Calendar with a distinct YJA category; registration links route to YJA's own registration system; YJA contact info is discoverable.</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84.75" customHeight="1" s="14">
      <c r="A26" s="5" t="inlineStr">
        <is>
          <t>YTH-3</t>
        </is>
      </c>
      <c r="B26" s="34" t="n"/>
      <c r="C26" s="5" t="inlineStr">
        <is>
          <t>Age-gating configuration and youth-committee tools so Youth content stays appropriately scoped, per RFP §4.5.</t>
        </is>
      </c>
      <c r="D26" s="5" t="inlineStr">
        <is>
          <t>Admin configures the age-gating rule (self-attested at signup, parental consent under 18); youth-committee members get scoped access to author Youth-section content.</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84.75" customHeight="1" s="14">
      <c r="A27" s="13" t="inlineStr">
        <is>
          <t>PEG-1</t>
        </is>
      </c>
      <c r="B27" s="33" t="inlineStr">
        <is>
          <t>Past Events &amp; Gallery</t>
        </is>
      </c>
      <c r="C27" s="13" t="inlineStr">
        <is>
          <t>An auto-generated Past Events archive with photo links, attendance counts, and donor recognition, per RFP §4.1.2 and §4.2.</t>
        </is>
      </c>
      <c r="D27" s="13" t="inlineStr">
        <is>
          <t>Any event past its end date auto-populates into the Past Events archive with a link to its Gallery album, final attendance count, and donor-recognition summary if sponsored.</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84.75" customHeight="1" s="14">
      <c r="A28" s="13" t="inlineStr">
        <is>
          <t>PEG-2</t>
        </is>
      </c>
      <c r="C28" s="13" t="inlineStr">
        <is>
          <t>An album-organized photo/video gallery searchable by year and event, per the walkthrough's slide 21.</t>
        </is>
      </c>
      <c r="D28" s="13" t="inlineStr">
        <is>
          <t>Hero album shows the most recent festival; album grid organized by event with a year filter; tapping an album opens a masonry grid; video albums show a play overlay.</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84.75" customHeight="1" s="14">
      <c r="A29" s="13" t="inlineStr">
        <is>
          <t>PEG-3</t>
        </is>
      </c>
      <c r="B29" s="34" t="n"/>
      <c r="C29" s="13" t="inlineStr">
        <is>
          <t>Curate featured entries in the auto-generated Past Events archive so the most significant events get prominence, per RFP §4.2.</t>
        </is>
      </c>
      <c r="D29" s="13" t="inlineStr">
        <is>
          <t>Admin can pin/feature specific past events above the auto-generated chronological order.</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84.75" customHeight="1" s="14">
      <c r="A30" s="5" t="inlineStr">
        <is>
          <t>RPT-1</t>
        </is>
      </c>
      <c r="B30" s="35" t="inlineStr">
        <is>
          <t>Reports &amp; Analytics v2</t>
        </is>
      </c>
      <c r="C30" s="5" t="inlineStr">
        <is>
          <t>Donor cohort analysis and retention metrics so admins understand giving patterns beyond raw totals, per RFP §4.2.</t>
        </is>
      </c>
      <c r="D30" s="5" t="inlineStr">
        <is>
          <t>Report segments donors by cohort (first-year, returning, lapsed) and shows retention rate trend over time; exportable as CSV and PDF.</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84.75" customHeight="1" s="14">
      <c r="A31" s="5" t="inlineStr">
        <is>
          <t>RPT-2</t>
        </is>
      </c>
      <c r="C31" s="5" t="inlineStr">
        <is>
          <t>A dues-aging trend report and an events chair wants an event-attendance trend report, so both roles see change over time, not just a snapshot, per RFP §4.2.</t>
        </is>
      </c>
      <c r="D31" s="5" t="inlineStr">
        <is>
          <t>Dues-aging trend shows the 30/60/90-day buckets over time; attendance trend shows RSVP and check-in rates across events over time; both exportable.</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84.75" customHeight="1" s="14">
      <c r="A32" s="5" t="inlineStr">
        <is>
          <t>RPT-3</t>
        </is>
      </c>
      <c r="B32" s="34" t="n"/>
      <c r="C32" s="5" t="inlineStr">
        <is>
          <t>Demographic breakdowns in reporting so program planning can be informed by who's actually participating, per RFP §4.2.</t>
        </is>
      </c>
      <c r="D32" s="5" t="inlineStr">
        <is>
          <t>Reports can break down participation by age band, family role, and tradition, respecting the privacy-by-default principle (no individually identifying data exposed in aggregate views).</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84.75" customHeight="1" s="14">
      <c r="A33" s="13" t="inlineStr">
        <is>
          <t>L10N2-1</t>
        </is>
      </c>
      <c r="B33" s="33" t="inlineStr">
        <is>
          <t>Hindi &amp; Gujarati Localization</t>
        </is>
      </c>
      <c r="C33" s="13" t="inlineStr">
        <is>
          <t>The full app translated into Hindi and Gujarati across every surface, per RFP §4.2 and §5.2.</t>
        </is>
      </c>
      <c r="D33" s="13" t="inlineStr">
        <is>
          <t>Every string in the localization_string catalog has a reviewed Hindi and Gujarati value; switching locale on any surface renders fully translated content with no English fallback strings remaining.</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84.75" customHeight="1" s="14">
      <c r="A34" s="13" t="inlineStr">
        <is>
          <t>L10N2-2</t>
        </is>
      </c>
      <c r="C34" s="13" t="inlineStr">
        <is>
          <t>A reviewer workflow for translation submissions so quality is verified before a translation goes live, per RFP §5.2.</t>
        </is>
      </c>
      <c r="D34" s="13" t="inlineStr">
        <is>
          <t>A submitted translation uses Payload's draft/publish workflow to enter a pending-review state; a designated reviewer approves (publishes) or rejects with comments before it becomes the live value for that locale, built on Payload's versioning rather than a bespoke review-state machine.</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84.75" customHeight="1" s="14">
      <c r="A35" s="13" t="inlineStr">
        <is>
          <t>L10N2-3</t>
        </is>
      </c>
      <c r="B35" s="34" t="n"/>
      <c r="C35" s="13" t="inlineStr">
        <is>
          <t>A context-aware editing interface showing where a string appears in the app so members can translate accurately, per RFP §5.2.</t>
        </is>
      </c>
      <c r="D35" s="13" t="inlineStr">
        <is>
          <t>Translator UI shows a screenshot or screen-context preview alongside each string being translated; Sanskrit/Prakrit terms are visibly locked as non-translatable per L10N-3.</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84.75" customHeight="1" s="14">
      <c r="A36" s="5" t="inlineStr">
        <is>
          <t>HARD1-1</t>
        </is>
      </c>
      <c r="B36" s="35" t="inlineStr">
        <is>
          <t>v1.5 Hardening &amp; Release</t>
        </is>
      </c>
      <c r="C36" s="5" t="inlineStr">
        <is>
          <t>An updated third-party penetration test covering the v1.5 surface area so new Phase 2 features are security-verified before release, per RFP §6.1.2.</t>
        </is>
      </c>
      <c r="D36" s="5" t="inlineStr">
        <is>
          <t>Pen test covers every Phase 2 feature (gated documents, library/Jinvani, directory, facility booking, recognition programs); all High/Critical findings remediated before the Phase 2 gate.</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84.75" customHeight="1" s="14">
      <c r="A37" s="5" t="inlineStr">
        <is>
          <t>HARD1-2</t>
        </is>
      </c>
      <c r="C37" s="5" t="inlineStr">
        <is>
          <t>Updated test coverage maintaining the v1.0 thresholds across all Phase 2 features, per RFP §6.1.2.</t>
        </is>
      </c>
      <c r="D37" s="5" t="inlineStr">
        <is>
          <t>Business-logic coverage stays &gt;=70% including all new Phase 2 modules; E2E suite extended to cover at least one Phase 2 critical flow (e.g. gated minutes access).</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84.75" customHeight="1" s="14">
      <c r="A38" s="5" t="inlineStr">
        <is>
          <t>HARD1-3</t>
        </is>
      </c>
      <c r="B38" s="34" t="n"/>
      <c r="C38" s="5" t="inlineStr">
        <is>
          <t>Store updates for the v1.5 release submitted and approved on both stores, per RFP §6.1.2.</t>
        </is>
      </c>
      <c r="D38" s="5" t="inlineStr">
        <is>
          <t>iOS and Android store listings updated with new screenshots/changelog reflecting Phase 2 features; both submissions approved.</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1">
    <mergeCell ref="A1:D1"/>
    <mergeCell ref="B5:B8"/>
    <mergeCell ref="B9:B14"/>
    <mergeCell ref="B20:B23"/>
    <mergeCell ref="B30:B32"/>
    <mergeCell ref="B33:B35"/>
    <mergeCell ref="A2:D2"/>
    <mergeCell ref="B24:B26"/>
    <mergeCell ref="B15:B19"/>
    <mergeCell ref="B27:B29"/>
    <mergeCell ref="B36:B38"/>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14" min="1" max="1"/>
    <col width="30" customWidth="1" style="14" min="2" max="2"/>
    <col width="52" customWidth="1" style="14" min="3" max="3"/>
    <col width="66" customWidth="1" style="14" min="4" max="4"/>
    <col width="8.710000000000001" customWidth="1" style="14" min="5" max="6"/>
  </cols>
  <sheetData>
    <row r="1">
      <c r="A1" s="1" t="inlineStr">
        <is>
          <t>Phase 3 — v2.0 (nice-to-have and contingent)</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14">
      <c r="A2" s="3" t="inlineStr">
        <is>
          <t>Educational depth and intelligent assistance. Contingent on Phase 1 and Phase 2 acceptance gates. RFP §4.3.</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ID</t>
        </is>
      </c>
      <c r="B4" s="4" t="inlineStr">
        <is>
          <t>Module</t>
        </is>
      </c>
      <c r="C4" s="4" t="inlineStr">
        <is>
          <t>User Story</t>
        </is>
      </c>
      <c r="D4" s="4" t="inlineStr">
        <is>
          <t>Description</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ht="84.75" customHeight="1" s="14">
      <c r="A5" s="5" t="inlineStr">
        <is>
          <t>PHIL-1</t>
        </is>
      </c>
      <c r="B5" s="35" t="inlineStr">
        <is>
          <t>Jain Philosophy Module</t>
        </is>
      </c>
      <c r="C5" s="5" t="inlineStr">
        <is>
          <t>A structured, multi-lesson educational module on anekantvad, ahimsa, syadvad, the Nine Tattvas, the Five Mahavratas, the Twelve Vratas, and karma theory, per RFP §4.3.</t>
        </is>
      </c>
      <c r="D5" s="5" t="inlineStr">
        <is>
          <t>Curriculum is organized as sequential multi-lesson tracks per topic; a member can start, pause, and resume any track; content renders correctly with the diacritics/terminology rules from Phase 1.</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ht="84.75" customHeight="1" s="14">
      <c r="A6" s="5" t="inlineStr">
        <is>
          <t>PHIL-2</t>
        </is>
      </c>
      <c r="C6" s="5" t="inlineStr">
        <is>
          <t>Progress tracked across lessons so members can see how far they've come in their study.</t>
        </is>
      </c>
      <c r="D6" s="5" t="inlineStr">
        <is>
          <t>Progress bar per track and an overall completion percentage are visible; progress persists across sessions and devices for a signed-in member.</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ht="84.75" customHeight="1" s="14">
      <c r="A7" s="5" t="inlineStr">
        <is>
          <t>PHIL-3</t>
        </is>
      </c>
      <c r="B7" s="34" t="n"/>
      <c r="C7" s="5" t="inlineStr">
        <is>
          <t>Curriculum authoring and lesson-sequencing tools plus progress analytics, per RFP §4.3.</t>
        </is>
      </c>
      <c r="D7" s="5" t="inlineStr">
        <is>
          <t>Admin can author lessons, sequence them into tracks, and view aggregate progress analytics (completion rate per track, drop-off points).</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ht="84.75" customHeight="1" s="14">
      <c r="A8" s="13" t="inlineStr">
        <is>
          <t>CARES-1</t>
        </is>
      </c>
      <c r="B8" s="33" t="inlineStr">
        <is>
          <t>JCA Cares</t>
        </is>
      </c>
      <c r="C8" s="13" t="inlineStr">
        <is>
          <t>See and give to JCA Cares campaigns (disaster relief, partner-organization fundraising, community outreach) so members can support causes beyond the Center itself, per RFP §4.3.</t>
        </is>
      </c>
      <c r="D8" s="13" t="inlineStr">
        <is>
          <t>JCA Cares campaigns render using the existing Cause/Donate infrastructure with a distinct visual treatment and partner-organization attribution.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ht="84.75" customHeight="1" s="14">
      <c r="A9" s="13" t="inlineStr">
        <is>
          <t>CARES-2</t>
        </is>
      </c>
      <c r="B9" s="34" t="n"/>
      <c r="C9" s="13" t="inlineStr">
        <is>
          <t>Campaign management integrated with the existing Causes tooling so JCA Cares doesn't require a parallel system, per RFP §4.3.</t>
        </is>
      </c>
      <c r="D9" s="13" t="inlineStr">
        <is>
          <t>Admin manages JCA Cares campaigns through the same Causes &amp; Donations section used for internal causes, with an added partner-organization field.</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ht="84.75" customHeight="1" s="14">
      <c r="A10" s="5" t="inlineStr">
        <is>
          <t>HARD2-1</t>
        </is>
      </c>
      <c r="B10" s="35" t="inlineStr">
        <is>
          <t>v2.0 Hardening &amp; Release</t>
        </is>
      </c>
      <c r="C10" s="5" t="inlineStr">
        <is>
          <t>A regression pass and updated pen-test scope for the v2.0 surface area (Jain Philosophy, JCA Cares) before release, per RFP §6.1.3.</t>
        </is>
      </c>
      <c r="D10" s="5" t="inlineStr">
        <is>
          <t>Full regression suite passes across all surfaces; pen-test scope extended to cover the two new Phase 3 modules; High/Critical findings remediated.</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84.75" customHeight="1" s="14">
      <c r="A11" s="5" t="inlineStr">
        <is>
          <t>HARD2-2</t>
        </is>
      </c>
      <c r="B11" s="34" t="n"/>
      <c r="C11" s="5" t="inlineStr">
        <is>
          <t>Store updates for the v2.0 release submitted and approved on both stores, per RFP §6.1.3.</t>
        </is>
      </c>
      <c r="D11" s="5" t="inlineStr">
        <is>
          <t>iOS and Android store listings updated reflecting v2.0 features; both submissions approved.</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84.75" customHeight="1" s="14">
      <c r="A12" s="13" t="inlineStr">
        <is>
          <t>AI-C-1</t>
        </is>
      </c>
      <c r="B12" s="33" t="inlineStr">
        <is>
          <t>AI Chat (contingent workstream)</t>
        </is>
      </c>
      <c r="C12" s="13" t="inlineStr">
        <is>
          <t>A knowledge-base ingestion pipeline covering JCA institutional content, religious content, and FAQs so the chat has an accurate grounding corpus, per RFP §4.3.</t>
        </is>
      </c>
      <c r="D12" s="13" t="inlineStr">
        <is>
          <t>Ingestion pipeline pulls from the Library/Jinvani catalog, FAQ, policies, and admin-curated source documents into a retrieval index; a content update in the source re-indexes within a defined SLA.</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84.75" customHeight="1" s="14">
      <c r="A13" s="13" t="inlineStr">
        <is>
          <t>AI-C-2</t>
        </is>
      </c>
      <c r="C13" s="13" t="inlineStr">
        <is>
          <t>Strict guardrails so the AI Chat never speculates on doctrine, always defers theological questions to acharyas, and cites sources for programming/factual claims, per RFP §4.3.</t>
        </is>
      </c>
      <c r="D13" s="13" t="inlineStr">
        <is>
          <t>A doctrine-classification layer detects theological questions and returns a deferral response naming how to reach an acharya, never a generated theological answer; every factual/programming claim in a response includes a source citation; a red-team test set of doctrinal edge cases passes 100%.</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84.75" customHeight="1" s="14">
      <c r="A14" s="13" t="inlineStr">
        <is>
          <t>AI-C-3</t>
        </is>
      </c>
      <c r="C14" s="13" t="inlineStr">
        <is>
          <t>A chat interface on mobile and web so members can ask questions and get grounded answers or an escalation to staff, per RFP §4.3.</t>
        </is>
      </c>
      <c r="D14" s="13" t="inlineStr">
        <is>
          <t>Chat UI available on iOS, Android, and web; every response is either grounded with a citation, a doctrine-deferral message, or an explicit hand-off to human staff — never an unlabeled guess.</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84.75" customHeight="1" s="14">
      <c r="A15" s="13" t="inlineStr">
        <is>
          <t>AI-C-4</t>
        </is>
      </c>
      <c r="C15" s="13" t="inlineStr">
        <is>
          <t>An escalation queue for sensitive topics and a response-audit tool so a human reviews what the AI actually says, per RFP §4.3.</t>
        </is>
      </c>
      <c r="D15" s="13" t="inlineStr">
        <is>
          <t>Any hand-off from the chat lands in an admin escalation queue with the conversation context; admins can audit any past AI response and flag it for correction or knowledge-base update.</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84.75" customHeight="1" s="14">
      <c r="A16" s="13" t="inlineStr">
        <is>
          <t>AI-C-5</t>
        </is>
      </c>
      <c r="B16" s="34" t="n"/>
      <c r="C16" s="13" t="inlineStr">
        <is>
          <t>A curation UI and a user-feedback loop so the AI's grounding corpus improves over time, per RFP §4.3.</t>
        </is>
      </c>
      <c r="D16" s="13" t="inlineStr">
        <is>
          <t>Admin can add, edit, or remove knowledge-base entries directly; a thumbs-up/down on any chat response feeds a feedback queue reviewed by the curator.</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6">
    <mergeCell ref="A1:D1"/>
    <mergeCell ref="B12:B16"/>
    <mergeCell ref="B8:B9"/>
    <mergeCell ref="A2:D2"/>
    <mergeCell ref="B10:B11"/>
    <mergeCell ref="B5:B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2026-09-27T22:59:15Z</dcterms:created>
  <dcterms:modified xsi:type="dcterms:W3CDTF">2026-10-05T12:44:33Z</dcterms:modified>
</cp:coreProperties>
</file>